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1_76350B5E81BCF3BC642F2E497A2FB15240217AB3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Management" sheetId="1" r:id="rId1"/>
    <sheet name="Budget" sheetId="2" r:id="rId2"/>
    <sheet name="CarGallery_Week2" sheetId="3" r:id="rId3"/>
    <sheet name="CarGallery_Week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4" l="1"/>
  <c r="G18" i="4" s="1"/>
  <c r="F17" i="4"/>
  <c r="G17" i="4" s="1"/>
  <c r="F16" i="4"/>
  <c r="G16" i="4" s="1"/>
  <c r="F15" i="4"/>
  <c r="G15" i="4" s="1"/>
  <c r="F14" i="4"/>
  <c r="G14" i="4" s="1"/>
  <c r="F13" i="4"/>
  <c r="G13" i="4" s="1"/>
  <c r="F12" i="4"/>
  <c r="G12" i="4" s="1"/>
  <c r="F11" i="4"/>
  <c r="G11" i="4" s="1"/>
  <c r="F10" i="4"/>
  <c r="G10" i="4" s="1"/>
  <c r="G9" i="4"/>
  <c r="F9" i="4"/>
  <c r="F8" i="4"/>
  <c r="G8" i="4" s="1"/>
  <c r="F7" i="4"/>
  <c r="G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Prepared as a presentation-friendly overview sheet for the CarGallery project.</t>
        </r>
      </text>
    </comment>
  </commentList>
</comments>
</file>

<file path=xl/sharedStrings.xml><?xml version="1.0" encoding="utf-8"?>
<sst xmlns="http://schemas.openxmlformats.org/spreadsheetml/2006/main" count="537" uniqueCount="437">
  <si>
    <t>Group Members</t>
  </si>
  <si>
    <t>Role</t>
  </si>
  <si>
    <t>Febuary (10-28)</t>
  </si>
  <si>
    <t>March (1-14)</t>
  </si>
  <si>
    <t>March (15-31)</t>
  </si>
  <si>
    <t>April (1-15)</t>
  </si>
  <si>
    <t>April (16-30)</t>
  </si>
  <si>
    <t>May (1-15)</t>
  </si>
  <si>
    <t>May (16-31)</t>
  </si>
  <si>
    <t>June</t>
  </si>
  <si>
    <t>Berk Yalçınkaya</t>
  </si>
  <si>
    <t>Project Manager</t>
  </si>
  <si>
    <t>* Define project scope
* Document requirements
* Create 8-week sprint roadmap</t>
  </si>
  <si>
    <t>* Track tasks and progress
* Prepare weekly report</t>
  </si>
  <si>
    <t>* Project Manager
* Coordinate testing process</t>
  </si>
  <si>
    <t>* Review sprint progress</t>
  </si>
  <si>
    <t>* Ensure requirements alignment</t>
  </si>
  <si>
    <t>* Collect usability feedback</t>
  </si>
  <si>
    <t>* Organize full system testing</t>
  </si>
  <si>
    <t>* Prepare final documentation
* Organize presentation</t>
  </si>
  <si>
    <t>Hıdır Işıkbaş</t>
  </si>
  <si>
    <t>Frontend Developer</t>
  </si>
  <si>
    <t>* UI/UX plan (Catalog, Detail, Auth, Admin)
* Set up React routing &amp; component structure
* Define frontend API services &amp; auth flow</t>
  </si>
  <si>
    <t>* Build Login/Register UI + validation
* Protected routes (catalog requires login)
* Base layout (navbar/footer, responsive)</t>
  </si>
  <si>
    <t>* Catalog UI (cards, filters, sorting)
* Connect Catalog to API
* Car Detail UI (gallery, specs)</t>
  </si>
  <si>
    <t>* Favorites UI (add/remove, list)
* Contact Form UI + submit flow
* Loading/error states &amp; state management</t>
  </si>
  <si>
    <t>* Admin UI (car add/edit forms)
* Image upload + delete UI
* Brand management CRUD screens</t>
  </si>
  <si>
    <t>* Responsive + accessibility improvements
* Styling consistency (components)
* Price history/notify settings UI (if scope)</t>
  </si>
  <si>
    <t>* End-to-end integration fixes
* Edge cases + empty states
* Usability feedback fixes</t>
  </si>
  <si>
    <t>* Frontend production build
* Frontend docs (setup/build/env)
* Support final demo/presentation</t>
  </si>
  <si>
    <t>Asya Yayla</t>
  </si>
  <si>
    <t>Risk Manager</t>
  </si>
  <si>
    <t>* Identify technical risks (API failure, data loss, etc.)
* Prepare risk matrix</t>
  </si>
  <si>
    <t>* Test API connectivity
* Review data persistence risks</t>
  </si>
  <si>
    <t>* Test API failure scenarios</t>
  </si>
  <si>
    <t>* Analyze invalid data entry risks</t>
  </si>
  <si>
    <t>* Evaluate data conflict risks</t>
  </si>
  <si>
    <t>* Analyze accidental deletion risk</t>
  </si>
  <si>
    <t>* Conduct final risk assessment
* Check for critical vulnerabilities</t>
  </si>
  <si>
    <t>* Perform live environment risk analysis
* Approve release</t>
  </si>
  <si>
    <t>Burak Bayraktar</t>
  </si>
  <si>
    <t>Database Developer</t>
  </si>
  <si>
    <t>* Design User data model
* Define LocalStorage data structure</t>
  </si>
  <si>
    <t>* Implement  LocalStorage data source
* Develop read/write functions</t>
  </si>
  <si>
    <t>* Test BrandEntity and car table synchronization</t>
  </si>
  <si>
    <t>* Test  CRUD operations</t>
  </si>
  <si>
    <t>* Test data consistency after updates</t>
  </si>
  <si>
    <t>* Verify DataBase and tables consistency after deletion</t>
  </si>
  <si>
    <t>* Perform data integrity testing</t>
  </si>
  <si>
    <t>* Test data persistence in production</t>
  </si>
  <si>
    <t>Hasan Eren Ertekin</t>
  </si>
  <si>
    <t>Backend Developer</t>
  </si>
  <si>
    <t>*Design entity models (Car, Brand, BaseEntity) *Define Car–Brand relationship (1-N)</t>
  </si>
  <si>
    <t>*Implement DTO structure (AddCarDto, AddBrandDto) *Setup EF Core migrations *Configure Swagger for API testing</t>
  </si>
  <si>
    <t>*Implement Brand entity and table       *Resolve foreign key &amp; migration conflicts</t>
  </si>
  <si>
    <t>*Implement Brand CRUD endpoints</t>
  </si>
  <si>
    <t>*Test API via Swagger</t>
  </si>
  <si>
    <t>*Refactor controllers and DTO usage</t>
  </si>
  <si>
    <t>*Final API testing</t>
  </si>
  <si>
    <t>*Prepare backend documentation</t>
  </si>
  <si>
    <t>Period</t>
  </si>
  <si>
    <t>Active Members</t>
  </si>
  <si>
    <t>Duration (days)</t>
  </si>
  <si>
    <t>Total Cost ($)</t>
  </si>
  <si>
    <t>CarGallery Strategic and Technical Overview</t>
  </si>
  <si>
    <t>Presentation-ready summary for project management review and final deck support</t>
  </si>
  <si>
    <t>No</t>
  </si>
  <si>
    <t>Section</t>
  </si>
  <si>
    <t>Focus Area</t>
  </si>
  <si>
    <t>Key Message</t>
  </si>
  <si>
    <t>CarGallery-Specific Notes</t>
  </si>
  <si>
    <t>Executive Summary</t>
  </si>
  <si>
    <t>Business / Product</t>
  </si>
  <si>
    <t>What it is and why it matters.</t>
  </si>
  <si>
    <t>CarGallery is a dealership catalog + admin system. Admins manage cars/brands/images/users; registered customers browse, favorite, and send contact requests.</t>
  </si>
  <si>
    <t>Product Description and Vision</t>
  </si>
  <si>
    <t>Users, problem, and growth vision.</t>
  </si>
  <si>
    <t>For dealership staff and registered customers. Replaces spreadsheet tracking with searchable listings and a scalable engagement platform.</t>
  </si>
  <si>
    <t>Core Features and Capabilities</t>
  </si>
  <si>
    <t>MVP + planned capabilities.</t>
  </si>
  <si>
    <t>MVP: auth, catalog, filters, car details, admin car/brand/user CRUD, image upload. Planned: block guests, favorites, price history + alerts, contact request workflow.</t>
  </si>
  <si>
    <t>Technical Architecture and Infrastructure</t>
  </si>
  <si>
    <t>Architecture / Security</t>
  </si>
  <si>
    <t>System structure and hosting.</t>
  </si>
  <si>
    <t>React (Vite) client calls ASP.NET Core Web API over HTTPS. Relational DB (SQLite dev; Postgres/MySQL ready); images stored on server/object storage.</t>
  </si>
  <si>
    <t>Technology Stack</t>
  </si>
  <si>
    <t>Frameworks, database, tooling.</t>
  </si>
  <si>
    <t>Frontend React + TypeScript; Backend ASP.NET Core + EF Core; DB SQLite. Tooling: Git, Swagger/Postman; CI-ready scripts.</t>
  </si>
  <si>
    <t>Security Architecture</t>
  </si>
  <si>
    <t>How data and actions are protected.</t>
  </si>
  <si>
    <t>HTTPS, hashed passwords, server-side JWT validation, RBAC on endpoints. Input validation, secure uploads, and admin action logs.</t>
  </si>
  <si>
    <t>Role and Authorization Management Model</t>
  </si>
  <si>
    <t>Roles and permissions model.</t>
  </si>
  <si>
    <t>Roles: Customer, Admin, Super Admin. Enforce access in the API (and UI) with least-privilege policies per endpoint.</t>
  </si>
  <si>
    <t>Clearance Level System</t>
  </si>
  <si>
    <t>Access levels mapped to features.</t>
  </si>
  <si>
    <t>Clearance: L0 guest (no catalog), L1 registered (view), L2 engaged (favorites/contact), L3 admin (manage), L4 super admin (role/security).</t>
  </si>
  <si>
    <t>User Experience and Interface</t>
  </si>
  <si>
    <t>UX / Operations</t>
  </si>
  <si>
    <t>Main screens and user flow.</t>
  </si>
  <si>
    <t>Pages: login/register, catalog (search/filter/sort), car detail (gallery/specs), favorites/price tracking/contact (planned), admin panel (cars/brands/users). Responsive UI with clear feedback.</t>
  </si>
  <si>
    <t>Installation and Deployment</t>
  </si>
  <si>
    <t>How to run and deploy.</t>
  </si>
  <si>
    <t>Local: run API + Vite, migrate/seed DB, set env vars. Deploy: build frontend, host API, configure prod DB/secrets/HTTPS, enable backups.</t>
  </si>
  <si>
    <t>Integration and Scalability</t>
  </si>
  <si>
    <t>Integrations and scaling approach.</t>
  </si>
  <si>
    <t>Integrate email/SMS for alerts, analytics, and storage. Scale with pagination, caching, background jobs, and a production DB.</t>
  </si>
  <si>
    <t>Competitive Analysis and Differentiation</t>
  </si>
  <si>
    <t>Strategy / Requirements</t>
  </si>
  <si>
    <t>Differentiators vs alternatives.</t>
  </si>
  <si>
    <t>More structured than social listings and safer than spreadsheets: access control, consistent data, and engagement tools (favorites/alerts/contact).</t>
  </si>
  <si>
    <t>Licensing and Commercial Model</t>
  </si>
  <si>
    <t>Commercialization approach.</t>
  </si>
  <si>
    <t>Academic prototype; can evolve into white-label SaaS with tiered subscriptions and add-ons (integrations, analytics, multi-branch).</t>
  </si>
  <si>
    <t>Technical Requirements</t>
  </si>
  <si>
    <t>Non-functional requirements.</t>
  </si>
  <si>
    <t>NFRs: fast catalog with pagination, secure auth/RBAC/uploads, logging + backups, maintainable code, basic tests and monitoring.</t>
  </si>
  <si>
    <t>Color Guide: Business / Product = orange, Architecture / Security = blue, UX / Operations = green, Strategy / Requirements = yellow</t>
  </si>
  <si>
    <t>CarGallery Risk Management, Testing &amp; Success Criteria</t>
  </si>
  <si>
    <t>Week 3 package: risk register + matrix, security/privacy controls, roadmap, validation/testing plan, and measurable success criteria</t>
  </si>
  <si>
    <t>1) Risk Analysis — Risk Register (Identification, Assessment, Mitigation)</t>
  </si>
  <si>
    <t>Risk ID</t>
  </si>
  <si>
    <t>Risk Description</t>
  </si>
  <si>
    <t>Category</t>
  </si>
  <si>
    <t>Probability (1–5)</t>
  </si>
  <si>
    <t>Impact (1–5)</t>
  </si>
  <si>
    <t>Score</t>
  </si>
  <si>
    <t>Level</t>
  </si>
  <si>
    <t>Owner</t>
  </si>
  <si>
    <t>Mitigation / Preventive Actions</t>
  </si>
  <si>
    <t>R1</t>
  </si>
  <si>
    <t>Server-side RBAC not enforced (admin endpoints callable by non-admin).</t>
  </si>
  <si>
    <t>Security</t>
  </si>
  <si>
    <t>Implement JWT validation + [Authorize] on API; role checks (Admin/SuperAdmin); deny-by-default; add 401/403 tests.</t>
  </si>
  <si>
    <t>R2</t>
  </si>
  <si>
    <t>Catalog visibility rule may be violated (guests can browse cars).</t>
  </si>
  <si>
    <t>Requirements</t>
  </si>
  <si>
    <t>Add protected routes on frontend + backend auth guard; redirect guests to login; add acceptance test.</t>
  </si>
  <si>
    <t>R3</t>
  </si>
  <si>
    <t>File upload vulnerabilities (malicious files, path traversal, large payload).</t>
  </si>
  <si>
    <t>Whitelist MIME/ext, size limits, random filenames, store outside webroot; restrict delete to admin; audit logs.</t>
  </si>
  <si>
    <t>R4</t>
  </si>
  <si>
    <t>Scope creep: favorites + price tracking + notifications may exceed June timeline.</t>
  </si>
  <si>
    <t>Scope/Schedule</t>
  </si>
  <si>
    <t>Freeze MVP scope; prioritize (MVP vs Phase‑2); weekly review; timebox features; define must-have list.</t>
  </si>
  <si>
    <t>R5</t>
  </si>
  <si>
    <t>Database evolution issues (migrations, JSON ImageUrls, schema conflicts).</t>
  </si>
  <si>
    <t>Technical</t>
  </si>
  <si>
    <t>Use EF migrations; version schema; seed data; validate ImageUrls conversion; rollback plan.</t>
  </si>
  <si>
    <t>R6</t>
  </si>
  <si>
    <t>Performance issues with growing inventory (no pagination/caching).</t>
  </si>
  <si>
    <t>Add pagination + indexes; optimize queries; image thumbnails; basic load test and targets.</t>
  </si>
  <si>
    <t>R7</t>
  </si>
  <si>
    <t>Data loss/corruption risk (single local SQLite DB, weak backup).</t>
  </si>
  <si>
    <t>Operations</t>
  </si>
  <si>
    <t>Automated backups; export/import scripts; integrity checks; plan prod DB for deployment.</t>
  </si>
  <si>
    <t>R8</t>
  </si>
  <si>
    <t>Team coordination risk (role changes, merge conflicts, unclear ownership).</t>
  </si>
  <si>
    <t>Team</t>
  </si>
  <si>
    <t>Define ownership; branch strategy; PR reviews; weekly standups; update task board.</t>
  </si>
  <si>
    <t>R9</t>
  </si>
  <si>
    <t>Deployment risks (HTTPS cert, env vars, image storage path/permissions).</t>
  </si>
  <si>
    <t>Deployment checklist; env templates; staging test; document storage + permissions.</t>
  </si>
  <si>
    <t>R10</t>
  </si>
  <si>
    <t>Privacy compliance gaps (PII retention, deletion policy, logs).</t>
  </si>
  <si>
    <t>Data Privacy</t>
  </si>
  <si>
    <t>Minimize PII; define retention; soft delete policy; access logging; privacy note.</t>
  </si>
  <si>
    <t>R11</t>
  </si>
  <si>
    <t>Authentication hardening missing (token expiry, rate-limit, brute-force).</t>
  </si>
  <si>
    <t>Short-lived JWT; rate-limit login; lockout; monitoring; log suspicious attempts.</t>
  </si>
  <si>
    <t>R12</t>
  </si>
  <si>
    <t>UI/UX regressions (responsive/a11y, confusing admin flows).</t>
  </si>
  <si>
    <t>UX</t>
  </si>
  <si>
    <t>Responsive checklist; basic a11y; consistent validation; usability test and fix top issues.</t>
  </si>
  <si>
    <t>1-3 Risk Matrix (Probability × Impact)</t>
  </si>
  <si>
    <t>Impact (1 = Low, 5 = Very High)</t>
  </si>
  <si>
    <t>Legend</t>
  </si>
  <si>
    <t>Low (1–4)</t>
  </si>
  <si>
    <t>Probability
(1=Low
5=Very High)</t>
  </si>
  <si>
    <t>Medium (5–9)</t>
  </si>
  <si>
    <t>High (10–15)</t>
  </si>
  <si>
    <t>Critical (16–25)</t>
  </si>
  <si>
    <t>2) Code Security &amp; Data Privacy — Controls Checklist</t>
  </si>
  <si>
    <t>ID</t>
  </si>
  <si>
    <t>Control</t>
  </si>
  <si>
    <t>Purpose</t>
  </si>
  <si>
    <t>Status</t>
  </si>
  <si>
    <t>Evidence / Notes (what to show in demo/report)</t>
  </si>
  <si>
    <t>S1</t>
  </si>
  <si>
    <t>HTTPS everywhere</t>
  </si>
  <si>
    <t>Protect credentials &amp; data in transit</t>
  </si>
  <si>
    <t>Planned</t>
  </si>
  <si>
    <t>Production deployment: enforce HTTPS and HSTS.</t>
  </si>
  <si>
    <t>S2</t>
  </si>
  <si>
    <t>Password hashing</t>
  </si>
  <si>
    <t>Protect passwords at rest</t>
  </si>
  <si>
    <t>Done</t>
  </si>
  <si>
    <t>Backend</t>
  </si>
  <si>
    <t>ASP.NET Identity hashing; no plaintext storage.</t>
  </si>
  <si>
    <t>S3</t>
  </si>
  <si>
    <t>Server-side JWT validation</t>
  </si>
  <si>
    <t>Stop token spoofing / fake tokens</t>
  </si>
  <si>
    <t>In progress</t>
  </si>
  <si>
    <t>Enable auth middleware; verify signature + expiry.</t>
  </si>
  <si>
    <t>S4</t>
  </si>
  <si>
    <t>RBAC on API endpoints</t>
  </si>
  <si>
    <t>Prevent non-admin CRUD access</t>
  </si>
  <si>
    <t>Authorize roles on Cars/Brands/Users; negative tests (401/403).</t>
  </si>
  <si>
    <t>S5</t>
  </si>
  <si>
    <t>Frontend protected routes</t>
  </si>
  <si>
    <t>Block guests from catalog/admin UI</t>
  </si>
  <si>
    <t>Route guards; redirect to login; show 403 page.</t>
  </si>
  <si>
    <t>S6</t>
  </si>
  <si>
    <t>Secure file upload rules</t>
  </si>
  <si>
    <t>Prevent malware &amp; traversal</t>
  </si>
  <si>
    <t>MIME/ext whitelist, size limits, random names, storage outside webroot.</t>
  </si>
  <si>
    <t>S7</t>
  </si>
  <si>
    <t>Input validation &amp; safe errors</t>
  </si>
  <si>
    <t>Reduce injection and crashes</t>
  </si>
  <si>
    <t>DTO validation; consistent error responses; logging.</t>
  </si>
  <si>
    <t>S8</t>
  </si>
  <si>
    <t>Rate limiting / lockout</t>
  </si>
  <si>
    <t>Reduce brute-force attacks</t>
  </si>
  <si>
    <t>Rate limit login; lockout; log suspicious attempts.</t>
  </si>
  <si>
    <t>S9</t>
  </si>
  <si>
    <t>Admin audit logging</t>
  </si>
  <si>
    <t>Trace changes &amp; accountability</t>
  </si>
  <si>
    <t>Log create/update/delete with userId + timestamp.</t>
  </si>
  <si>
    <t>P1</t>
  </si>
  <si>
    <t>PII minimization</t>
  </si>
  <si>
    <t>Store only needed user data</t>
  </si>
  <si>
    <t>Document stored fields; avoid extra personal data.</t>
  </si>
  <si>
    <t>P2</t>
  </si>
  <si>
    <t>Account deletion policy</t>
  </si>
  <si>
    <t>Privacy + recovery</t>
  </si>
  <si>
    <t>Soft delete; define retention; document in report.</t>
  </si>
  <si>
    <t>P3</t>
  </si>
  <si>
    <t>Backup &amp; restore plan</t>
  </si>
  <si>
    <t>Reduce data loss risk</t>
  </si>
  <si>
    <t>SQLite backup/restore steps; schedule weekly backup.</t>
  </si>
  <si>
    <t>3) Implementation Roadmap (March–June)</t>
  </si>
  <si>
    <t>Phase / Timebox</t>
  </si>
  <si>
    <t>Goal</t>
  </si>
  <si>
    <t>Key Deliverables</t>
  </si>
  <si>
    <t>Owner(s)</t>
  </si>
  <si>
    <t>Notes / Dependencies</t>
  </si>
  <si>
    <t>Week 3 (next week)</t>
  </si>
  <si>
    <t>Weekly submission package</t>
  </si>
  <si>
    <t>Complete missing doc sections; risk register + matrix; security/privacy checklist; testing plan; success criteria; update Jira/board</t>
  </si>
  <si>
    <t>Berk + Asya</t>
  </si>
  <si>
    <t>Required for next week</t>
  </si>
  <si>
    <t>March</t>
  </si>
  <si>
    <t>Security baseline &amp; access control</t>
  </si>
  <si>
    <t>JWT validation; RBAC on endpoints; protect catalog for guests; upload constraints; error handling</t>
  </si>
  <si>
    <t>Hasan + Hıdır</t>
  </si>
  <si>
    <t>Reduces R1/R2/R3</t>
  </si>
  <si>
    <t>April</t>
  </si>
  <si>
    <t>Engagement workflow</t>
  </si>
  <si>
    <t>Favorites + contact request flow; admin review page; UI polish; DB updates</t>
  </si>
  <si>
    <t>Hıdır + Hasan + Burak</t>
  </si>
  <si>
    <t>Timebox to avoid scope creep</t>
  </si>
  <si>
    <t>May</t>
  </si>
  <si>
    <t>Alerts + quality gate</t>
  </si>
  <si>
    <t>Price history; notification stub; pagination/perf; usability tests; bug fixes</t>
  </si>
  <si>
    <t>Hasan + Berk</t>
  </si>
  <si>
    <t>If alerts out-of-scope: document as future work</t>
  </si>
  <si>
    <t>Release &amp; final presentation</t>
  </si>
  <si>
    <t>Deployment guide; final E2E testing; backup plan; final slides + rehearsal</t>
  </si>
  <si>
    <t>Berk + Team</t>
  </si>
  <si>
    <t>Staging run-through before demo</t>
  </si>
  <si>
    <t>4) Validation and Testing Plan</t>
  </si>
  <si>
    <t>Test Layer</t>
  </si>
  <si>
    <t>Scope (what is tested)</t>
  </si>
  <si>
    <t>Method / Tools</t>
  </si>
  <si>
    <t>Validation Metrics</t>
  </si>
  <si>
    <t>When</t>
  </si>
  <si>
    <t>Evidence / Output</t>
  </si>
  <si>
    <t>Unit (Backend)</t>
  </si>
  <si>
    <t>DTO validation, service logic, helpers</t>
  </si>
  <si>
    <t>xUnit/NUnit (optional) + assertions</t>
  </si>
  <si>
    <t>Pass rate; critical-path coverage</t>
  </si>
  <si>
    <t>Hasan</t>
  </si>
  <si>
    <t>Mar–May</t>
  </si>
  <si>
    <t>Test report / screenshots</t>
  </si>
  <si>
    <t>Integration (API)</t>
  </si>
  <si>
    <t>Auth; Cars/Brands CRUD; Upload/delete image</t>
  </si>
  <si>
    <t>Postman + Swagger; negative tests</t>
  </si>
  <si>
    <t>Correct 200/401/403; stable errors</t>
  </si>
  <si>
    <t>Mar–Jun</t>
  </si>
  <si>
    <t>Postman collection + run output</t>
  </si>
  <si>
    <t>UI (Frontend)</t>
  </si>
  <si>
    <t>Login, protected routes, catalog filters, admin forms</t>
  </si>
  <si>
    <t>Manual checklist + optional RTL</t>
  </si>
  <si>
    <t>No console errors; checklist pass</t>
  </si>
  <si>
    <t>Hıdır</t>
  </si>
  <si>
    <t>Checklist + screenshots</t>
  </si>
  <si>
    <t>E2E (Smoke)</t>
  </si>
  <si>
    <t>Register → browse → detail → contact/favorite</t>
  </si>
  <si>
    <t>Playwright/Cypress (optional)</t>
  </si>
  <si>
    <t>Critical flow pass rate ≥ 95%</t>
  </si>
  <si>
    <t>Berk + Hıdır</t>
  </si>
  <si>
    <t>May–Jun</t>
  </si>
  <si>
    <t>Recorded demo run</t>
  </si>
  <si>
    <t>Security validation</t>
  </si>
  <si>
    <t>Auth bypass; role escalation; upload abuse</t>
  </si>
  <si>
    <t>OWASP checklist + targeted tests</t>
  </si>
  <si>
    <t>0 critical vulns; no unauthorized admin ops</t>
  </si>
  <si>
    <t>Asya</t>
  </si>
  <si>
    <t>Security checklist</t>
  </si>
  <si>
    <t>Performance</t>
  </si>
  <si>
    <t>Catalog latency with pagination</t>
  </si>
  <si>
    <t>k6/JMeter (light)</t>
  </si>
  <si>
    <t>API latency target (e.g., &lt;1s); err &lt;1%</t>
  </si>
  <si>
    <t>Hasan + Burak</t>
  </si>
  <si>
    <t>Perf notes</t>
  </si>
  <si>
    <t>Data integrity</t>
  </si>
  <si>
    <t>CRUD consistency; backup/restore rehearsal</t>
  </si>
  <si>
    <t>DB checks; restore test</t>
  </si>
  <si>
    <t>No orphans; restore success</t>
  </si>
  <si>
    <t>Burak</t>
  </si>
  <si>
    <t>Restore log</t>
  </si>
  <si>
    <t>5) Success Criteria (How we determine project success)</t>
  </si>
  <si>
    <t>Success Criterion</t>
  </si>
  <si>
    <t>Target</t>
  </si>
  <si>
    <t>How Measured / Evidence</t>
  </si>
  <si>
    <t>Admin endpoints protected by server-side RBAC</t>
  </si>
  <si>
    <t>Non-admin receives 403; admin succeeds</t>
  </si>
  <si>
    <t>API tests showing 401/403 + successful admin actions</t>
  </si>
  <si>
    <t>Access Control</t>
  </si>
  <si>
    <t>Guests cannot view catalog</t>
  </si>
  <si>
    <t>Guest redirected to login; API returns 401/403</t>
  </si>
  <si>
    <t>Demo: open catalog as guest → blocked</t>
  </si>
  <si>
    <t>Functionality</t>
  </si>
  <si>
    <t>Admin can add/edit/delete cars + manage brands</t>
  </si>
  <si>
    <t>All CRUD flows work without errors</t>
  </si>
  <si>
    <t>Demo checklist + screenshots</t>
  </si>
  <si>
    <t>Media Handling</t>
  </si>
  <si>
    <t>Image upload/delete works safely</t>
  </si>
  <si>
    <t>Only allowed types; size limit enforced</t>
  </si>
  <si>
    <t>Upload tests + stored file path evidence</t>
  </si>
  <si>
    <t>Quality</t>
  </si>
  <si>
    <t>Test plan executed</t>
  </si>
  <si>
    <t>≥ 90% planned test cases passed; no P0 bugs</t>
  </si>
  <si>
    <t>Test checklist with pass/fail summary</t>
  </si>
  <si>
    <t>Catalog endpoint responsive</t>
  </si>
  <si>
    <t>Paged listing returns within target (e.g., &lt;1s on test env)</t>
  </si>
  <si>
    <t>Timing logs / perf notes</t>
  </si>
  <si>
    <t>Documentation</t>
  </si>
  <si>
    <t>Deployment + usage documented</t>
  </si>
  <si>
    <t>README + deployment checklist complete</t>
  </si>
  <si>
    <t>Docs in repo + instructor review</t>
  </si>
  <si>
    <t>Project Management</t>
  </si>
  <si>
    <t>Plan delivered to June with weekly tracking</t>
  </si>
  <si>
    <t>Updated management sheet + weekly reports</t>
  </si>
  <si>
    <t>Excel management table + Jira board snapshots</t>
  </si>
  <si>
    <t>Week 3 Update: New Requirements (City + Multi-Gallery)</t>
  </si>
  <si>
    <t>Feature</t>
  </si>
  <si>
    <t>What changes</t>
  </si>
  <si>
    <t>Priority</t>
  </si>
  <si>
    <t>Target week</t>
  </si>
  <si>
    <t>Notes</t>
  </si>
  <si>
    <t>City selection (entry)</t>
  </si>
  <si>
    <t>User selects city first; system shows galleries in that city before catalog.</t>
  </si>
  <si>
    <t>High</t>
  </si>
  <si>
    <t>Frontend</t>
  </si>
  <si>
    <t>W4</t>
  </si>
  <si>
    <t>Store selection (session/localStorage).</t>
  </si>
  <si>
    <t>Gallery directory</t>
  </si>
  <si>
    <t>List galleries by city; search/sort; show contact + inventory count.</t>
  </si>
  <si>
    <t>W5</t>
  </si>
  <si>
    <t>Pagination for many galleries.</t>
  </si>
  <si>
    <t>Multi-gallery data model</t>
  </si>
  <si>
    <t>Add Gallery + City entities; cars/brands/users scoped to GalleryId.</t>
  </si>
  <si>
    <t>W4–W5</t>
  </si>
  <si>
    <t>DB migration + seed default gallery.</t>
  </si>
  <si>
    <t>Gallery-scoped catalog</t>
  </si>
  <si>
    <t>All car endpoints filtered by GalleryId; UI routes include selected gallery.</t>
  </si>
  <si>
    <t>Backend+Frontend</t>
  </si>
  <si>
    <t>Prevent cross-gallery access.</t>
  </si>
  <si>
    <t>SuperAdmin functions</t>
  </si>
  <si>
    <t>Create galleries + assign admins to a gallery.</t>
  </si>
  <si>
    <t>Medium</t>
  </si>
  <si>
    <t>W6</t>
  </si>
  <si>
    <t>RBAC policies and audit logs.</t>
  </si>
  <si>
    <t>Week 3 Update: Additional Risks for Multi-Gallery Scope</t>
  </si>
  <si>
    <t>Risk</t>
  </si>
  <si>
    <t>Probability</t>
  </si>
  <si>
    <t>Impact</t>
  </si>
  <si>
    <t>Risk Level</t>
  </si>
  <si>
    <t>Mitigation / Preventive Action</t>
  </si>
  <si>
    <t>R-MG-01</t>
  </si>
  <si>
    <t>Cross-gallery data leakage if GalleryId filtering is missed in any endpoint.</t>
  </si>
  <si>
    <t>Enforce GalleryId scoping everywhere; add automated tests; code review checklist.</t>
  </si>
  <si>
    <t>Backend Lead</t>
  </si>
  <si>
    <t>R-MG-02</t>
  </si>
  <si>
    <t>DB redesign/migration delays affect schedule.</t>
  </si>
  <si>
    <t>Finalize schema early; incremental migrations; buffer time; keep rollback plan.</t>
  </si>
  <si>
    <t>PM</t>
  </si>
  <si>
    <t>R-MG-03</t>
  </si>
  <si>
    <t>Wrong RBAC (SuperAdmin/Admin per gallery) causes security gaps.</t>
  </si>
  <si>
    <t>Low</t>
  </si>
  <si>
    <t>Policy-based authorization; negative tests; audit logs.</t>
  </si>
  <si>
    <t>R-MG-04</t>
  </si>
  <si>
    <t>User confusion in city→gallery→catalog flow reduces engagement.</t>
  </si>
  <si>
    <t>Breadcrumbs + clear CTAs; keep selection visible; quick usability test.</t>
  </si>
  <si>
    <t>Frontend Lead</t>
  </si>
  <si>
    <t>R-MG-05</t>
  </si>
  <si>
    <t>Performance issues with many galleries/cars.</t>
  </si>
  <si>
    <t>Pagination; DB indexes (CityId/GalleryId); basic load testing.</t>
  </si>
  <si>
    <t>Week 3 Update: Validation &amp; Testing Plan (City + Multi-Gallery)</t>
  </si>
  <si>
    <t>Test type</t>
  </si>
  <si>
    <t>What we validate</t>
  </si>
  <si>
    <t>Tools/Method</t>
  </si>
  <si>
    <t>Pass criteria</t>
  </si>
  <si>
    <t>Unit tests (API)</t>
  </si>
  <si>
    <t>GalleryId scoping, role checks, input validation.</t>
  </si>
  <si>
    <t>xUnit + EF InMemory/Test DB</t>
  </si>
  <si>
    <t>W5–W6</t>
  </si>
  <si>
    <t>All critical tests pass, coverage on core endpoints.</t>
  </si>
  <si>
    <t>Integration tests</t>
  </si>
  <si>
    <t>City→gallery endpoints + gallery-scoped catalog; negative leakage tests.</t>
  </si>
  <si>
    <t>Postman/Newman or TestServer</t>
  </si>
  <si>
    <t>No cross-gallery access; correct status codes.</t>
  </si>
  <si>
    <t>Frontend E2E smoke</t>
  </si>
  <si>
    <t>City select → gallery select → catalog → detail.</t>
  </si>
  <si>
    <t>Playwright/Cypress</t>
  </si>
  <si>
    <t>Happy path completes without errors.</t>
  </si>
  <si>
    <t>UX validation</t>
  </si>
  <si>
    <t>Users can reach a car detail within 30s after city selection.</t>
  </si>
  <si>
    <t>5-user quick test + notes</t>
  </si>
  <si>
    <t>PM+FE</t>
  </si>
  <si>
    <t>≥80% complete task; issues logged.</t>
  </si>
  <si>
    <t>Performance check</t>
  </si>
  <si>
    <t>Gallery list + catalog response time with pagination.</t>
  </si>
  <si>
    <t>k6/JMeter quick run</t>
  </si>
  <si>
    <t>W7</t>
  </si>
  <si>
    <t>p95 &lt; 1.5s on test env (target).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</si>
</sst>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rgb="FFFFFFFF"/>
      <name val="Calibri"/>
      <family val="2"/>
      <charset val="162"/>
    </font>
    <font>
      <i/>
      <sz val="11"/>
      <color rgb="FF404040"/>
      <name val="Calibri"/>
      <family val="2"/>
      <charset val="162"/>
    </font>
    <font>
      <b/>
      <sz val="11"/>
      <color rgb="FFFFFFFF"/>
      <name val="Calibri"/>
      <family val="2"/>
      <charset val="162"/>
    </font>
    <font>
      <b/>
      <sz val="10"/>
      <color rgb="FF1F1F1F"/>
      <name val="Calibri"/>
      <family val="2"/>
      <charset val="162"/>
    </font>
    <font>
      <sz val="10"/>
      <color rgb="FF1F1F1F"/>
      <name val="Calibri"/>
      <family val="2"/>
      <charset val="162"/>
    </font>
    <font>
      <b/>
      <sz val="10"/>
      <color rgb="FFFFFFFF"/>
      <name val="Calibri"/>
      <family val="2"/>
      <charset val="162"/>
    </font>
    <font>
      <i/>
      <sz val="10"/>
      <color rgb="FF404040"/>
      <name val="Calibri"/>
      <family val="2"/>
      <charset val="162"/>
    </font>
    <font>
      <b/>
      <sz val="18"/>
      <color rgb="FFFFFFFF"/>
      <name val="Calibri"/>
      <family val="2"/>
      <charset val="162"/>
    </font>
    <font>
      <b/>
      <sz val="12"/>
      <color rgb="FFFFFFFF"/>
      <name val="Calibri"/>
      <family val="2"/>
      <charset val="162"/>
    </font>
    <font>
      <b/>
      <sz val="11"/>
      <color rgb="FF404040"/>
      <name val="Calibri"/>
      <family val="2"/>
      <charset val="162"/>
    </font>
    <font>
      <b/>
      <sz val="11"/>
      <name val="Calibri"/>
      <family val="2"/>
      <charset val="162"/>
    </font>
    <font>
      <b/>
      <sz val="11"/>
      <color rgb="FFFFFFFF"/>
      <name val="Calibri"/>
      <family val="2"/>
      <charset val="162"/>
    </font>
    <font>
      <b/>
      <sz val="11"/>
      <color rgb="FF1F4E79"/>
      <name val="Calibri"/>
      <family val="2"/>
      <charset val="162"/>
    </font>
  </fonts>
  <fills count="2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C55A11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70AD47"/>
      </patternFill>
    </fill>
    <fill>
      <patternFill patternType="solid">
        <fgColor rgb="FFFFF2CC"/>
      </patternFill>
    </fill>
    <fill>
      <patternFill patternType="solid">
        <fgColor rgb="FFBF9000"/>
      </patternFill>
    </fill>
    <fill>
      <patternFill patternType="solid">
        <fgColor rgb="FFF3F6FA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E2F0D9"/>
      </patternFill>
    </fill>
    <fill>
      <patternFill patternType="solid">
        <fgColor rgb="FF1F4E79"/>
      </patternFill>
    </fill>
    <fill>
      <patternFill patternType="solid">
        <fgColor rgb="FFD9E1F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BE6"/>
      </left>
      <right style="thin">
        <color rgb="FFB8CBE6"/>
      </right>
      <top style="thin">
        <color rgb="FFB8CBE6"/>
      </top>
      <bottom style="thin">
        <color rgb="FFB8CBE6"/>
      </bottom>
      <diagonal/>
    </border>
    <border>
      <left style="thin">
        <color rgb="FF9AA7B7"/>
      </left>
      <right style="thin">
        <color rgb="FF9AA7B7"/>
      </right>
      <top style="thin">
        <color rgb="FF9AA7B7"/>
      </top>
      <bottom style="thin">
        <color rgb="FF9AA7B7"/>
      </bottom>
      <diagonal/>
    </border>
    <border>
      <left/>
      <right/>
      <top style="thin">
        <color rgb="FF9AA7B7"/>
      </top>
      <bottom style="thin">
        <color rgb="FF9AA7B7"/>
      </bottom>
      <diagonal/>
    </border>
    <border>
      <left/>
      <right style="thin">
        <color rgb="FF9AA7B7"/>
      </right>
      <top style="thin">
        <color rgb="FF9AA7B7"/>
      </top>
      <bottom style="thin">
        <color rgb="FF9AA7B7"/>
      </bottom>
      <diagonal/>
    </border>
    <border>
      <left style="thin">
        <color rgb="FF9AA7B7"/>
      </left>
      <right style="thin">
        <color rgb="FF9AA7B7"/>
      </right>
      <top/>
      <bottom/>
      <diagonal/>
    </border>
    <border>
      <left style="thin">
        <color rgb="FF9AA7B7"/>
      </left>
      <right style="thin">
        <color rgb="FF9AA7B7"/>
      </right>
      <top/>
      <bottom style="thin">
        <color rgb="FF9AA7B7"/>
      </bottom>
      <diagonal/>
    </border>
    <border>
      <left style="thin">
        <color rgb="FF9AA0A6"/>
      </left>
      <right style="thin">
        <color rgb="FF9AA0A6"/>
      </right>
      <top style="thin">
        <color rgb="FF9AA0A6"/>
      </top>
      <bottom style="thin">
        <color rgb="FF9AA0A6"/>
      </bottom>
      <diagonal/>
    </border>
  </borders>
  <cellStyleXfs count="1">
    <xf numFmtId="0" fontId="0" fillId="0" borderId="0"/>
  </cellStyleXfs>
  <cellXfs count="62">
    <xf numFmtId="0" fontId="0" fillId="0" borderId="0" xfId="0"/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vertical="center" wrapText="1"/>
    </xf>
    <xf numFmtId="49" fontId="0" fillId="4" borderId="0" xfId="0" applyNumberFormat="1" applyFill="1" applyAlignment="1">
      <alignment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top" wrapText="1"/>
    </xf>
    <xf numFmtId="0" fontId="7" fillId="8" borderId="2" xfId="0" applyFont="1" applyFill="1" applyBorder="1" applyAlignment="1">
      <alignment horizontal="left" vertical="top" wrapText="1"/>
    </xf>
    <xf numFmtId="0" fontId="9" fillId="9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left" vertical="top" wrapText="1"/>
    </xf>
    <xf numFmtId="0" fontId="9" fillId="10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center" vertical="top" wrapText="1"/>
    </xf>
    <xf numFmtId="0" fontId="7" fillId="11" borderId="2" xfId="0" applyFont="1" applyFill="1" applyBorder="1" applyAlignment="1">
      <alignment horizontal="left" vertical="top" wrapText="1"/>
    </xf>
    <xf numFmtId="0" fontId="9" fillId="12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center" vertical="top" wrapText="1"/>
    </xf>
    <xf numFmtId="0" fontId="7" fillId="13" borderId="2" xfId="0" applyFont="1" applyFill="1" applyBorder="1" applyAlignment="1">
      <alignment horizontal="left" vertical="top" wrapText="1"/>
    </xf>
    <xf numFmtId="0" fontId="9" fillId="14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left" vertical="top" wrapText="1"/>
    </xf>
    <xf numFmtId="0" fontId="6" fillId="7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13" fillId="17" borderId="3" xfId="0" applyFont="1" applyFill="1" applyBorder="1" applyAlignment="1">
      <alignment horizontal="center" vertical="center"/>
    </xf>
    <xf numFmtId="0" fontId="0" fillId="17" borderId="3" xfId="0" applyFill="1" applyBorder="1"/>
    <xf numFmtId="0" fontId="0" fillId="18" borderId="3" xfId="0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/>
    </xf>
    <xf numFmtId="0" fontId="16" fillId="23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top" wrapText="1"/>
    </xf>
    <xf numFmtId="0" fontId="10" fillId="15" borderId="0" xfId="0" applyFont="1" applyFill="1" applyAlignment="1">
      <alignment horizontal="left" vertical="center"/>
    </xf>
    <xf numFmtId="0" fontId="0" fillId="0" borderId="0" xfId="0"/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0" borderId="3" xfId="0" applyBorder="1" applyAlignment="1">
      <alignment vertical="top" wrapText="1"/>
    </xf>
    <xf numFmtId="0" fontId="0" fillId="0" borderId="4" xfId="0" applyBorder="1"/>
    <xf numFmtId="0" fontId="0" fillId="0" borderId="5" xfId="0" applyBorder="1"/>
    <xf numFmtId="0" fontId="12" fillId="16" borderId="0" xfId="0" applyFont="1" applyFill="1" applyAlignment="1">
      <alignment horizontal="left" vertical="center"/>
    </xf>
    <xf numFmtId="0" fontId="13" fillId="17" borderId="0" xfId="0" applyFont="1" applyFill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14" fillId="18" borderId="3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5" fillId="22" borderId="0" xfId="0" applyFont="1" applyFill="1" applyAlignment="1">
      <alignment horizontal="left" vertical="center"/>
    </xf>
    <xf numFmtId="0" fontId="14" fillId="20" borderId="3" xfId="0" applyFont="1" applyFill="1" applyBorder="1" applyAlignment="1">
      <alignment horizontal="center" vertical="center"/>
    </xf>
    <xf numFmtId="0" fontId="13" fillId="17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4" fillId="21" borderId="3" xfId="0" applyFont="1" applyFill="1" applyBorder="1" applyAlignment="1">
      <alignment horizontal="center" vertical="center"/>
    </xf>
    <xf numFmtId="0" fontId="13" fillId="17" borderId="3" xfId="0" applyFont="1" applyFill="1" applyBorder="1" applyAlignment="1">
      <alignment horizontal="center" vertical="center"/>
    </xf>
    <xf numFmtId="0" fontId="14" fillId="19" borderId="3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GalleryOverviewTable" displayName="CarGalleryOverviewTable" ref="A5:E19">
  <autoFilter ref="A5:E19" xr:uid="{00000000-0009-0000-0100-000001000000}"/>
  <tableColumns count="5">
    <tableColumn id="1" xr3:uid="{00000000-0010-0000-0000-000001000000}" name="No"/>
    <tableColumn id="2" xr3:uid="{00000000-0010-0000-0000-000002000000}" name="Section"/>
    <tableColumn id="3" xr3:uid="{00000000-0010-0000-0000-000003000000}" name="Focus Area"/>
    <tableColumn id="4" xr3:uid="{00000000-0010-0000-0000-000004000000}" name="Key Message"/>
    <tableColumn id="5" xr3:uid="{00000000-0010-0000-0000-000005000000}" name="CarGallery-Specific 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/>
  </sheetViews>
  <sheetFormatPr defaultRowHeight="14.4" x14ac:dyDescent="0.3"/>
  <cols>
    <col min="1" max="1" width="19.5546875" style="3" customWidth="1"/>
    <col min="2" max="2" width="28.44140625" style="2" customWidth="1"/>
    <col min="3" max="3" width="16.5546875" style="2" customWidth="1"/>
    <col min="4" max="4" width="16.109375" style="2" customWidth="1"/>
    <col min="5" max="5" width="26.5546875" style="1" customWidth="1"/>
    <col min="6" max="6" width="15.33203125" style="2" customWidth="1"/>
    <col min="7" max="7" width="15.109375" style="2" customWidth="1"/>
    <col min="8" max="8" width="17.44140625" style="2" customWidth="1"/>
    <col min="9" max="9" width="16.5546875" style="2" customWidth="1"/>
    <col min="10" max="10" width="15.88671875" style="2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86.4" customHeight="1" x14ac:dyDescent="0.3">
      <c r="A2" s="5" t="s">
        <v>10</v>
      </c>
      <c r="B2" s="7" t="s">
        <v>11</v>
      </c>
      <c r="C2" s="11" t="s">
        <v>12</v>
      </c>
      <c r="D2" s="11" t="s">
        <v>13</v>
      </c>
      <c r="E2" s="12" t="s">
        <v>14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</row>
    <row r="3" spans="1:10" ht="115.2" customHeight="1" x14ac:dyDescent="0.3">
      <c r="A3" s="5" t="s">
        <v>20</v>
      </c>
      <c r="B3" s="7" t="s">
        <v>21</v>
      </c>
      <c r="C3" s="11" t="s">
        <v>22</v>
      </c>
      <c r="D3" s="11" t="s">
        <v>23</v>
      </c>
      <c r="E3" s="12" t="s">
        <v>24</v>
      </c>
      <c r="F3" s="11" t="s">
        <v>25</v>
      </c>
      <c r="G3" s="11" t="s">
        <v>26</v>
      </c>
      <c r="H3" s="11" t="s">
        <v>27</v>
      </c>
      <c r="I3" s="11" t="s">
        <v>28</v>
      </c>
      <c r="J3" s="11" t="s">
        <v>29</v>
      </c>
    </row>
    <row r="4" spans="1:10" ht="112.2" customHeight="1" x14ac:dyDescent="0.3">
      <c r="A4" s="5" t="s">
        <v>30</v>
      </c>
      <c r="B4" s="7" t="s">
        <v>31</v>
      </c>
      <c r="C4" s="11" t="s">
        <v>32</v>
      </c>
      <c r="D4" s="11" t="s">
        <v>33</v>
      </c>
      <c r="E4" s="12" t="s">
        <v>34</v>
      </c>
      <c r="F4" s="11" t="s">
        <v>35</v>
      </c>
      <c r="G4" s="11" t="s">
        <v>36</v>
      </c>
      <c r="H4" s="11" t="s">
        <v>37</v>
      </c>
      <c r="I4" s="11" t="s">
        <v>38</v>
      </c>
      <c r="J4" s="11" t="s">
        <v>39</v>
      </c>
    </row>
    <row r="5" spans="1:10" ht="124.5" customHeight="1" x14ac:dyDescent="0.3">
      <c r="A5" s="5" t="s">
        <v>40</v>
      </c>
      <c r="B5" s="7" t="s">
        <v>41</v>
      </c>
      <c r="C5" s="11" t="s">
        <v>42</v>
      </c>
      <c r="D5" s="11" t="s">
        <v>43</v>
      </c>
      <c r="E5" s="12" t="s">
        <v>44</v>
      </c>
      <c r="F5" s="11" t="s">
        <v>45</v>
      </c>
      <c r="G5" s="11" t="s">
        <v>46</v>
      </c>
      <c r="H5" s="11" t="s">
        <v>47</v>
      </c>
      <c r="I5" s="11" t="s">
        <v>48</v>
      </c>
      <c r="J5" s="11" t="s">
        <v>49</v>
      </c>
    </row>
    <row r="6" spans="1:10" ht="129.6" customHeight="1" x14ac:dyDescent="0.3">
      <c r="A6" s="5" t="s">
        <v>50</v>
      </c>
      <c r="B6" s="7" t="s">
        <v>51</v>
      </c>
      <c r="C6" s="11" t="s">
        <v>52</v>
      </c>
      <c r="D6" s="11" t="s">
        <v>53</v>
      </c>
      <c r="E6" s="12" t="s">
        <v>54</v>
      </c>
      <c r="F6" s="11" t="s">
        <v>55</v>
      </c>
      <c r="G6" s="11" t="s">
        <v>56</v>
      </c>
      <c r="H6" s="11" t="s">
        <v>57</v>
      </c>
      <c r="I6" s="11" t="s">
        <v>58</v>
      </c>
      <c r="J6" s="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4" x14ac:dyDescent="0.3"/>
  <cols>
    <col min="1" max="1" width="21.44140625" customWidth="1"/>
    <col min="2" max="2" width="16.5546875" customWidth="1"/>
    <col min="3" max="3" width="19.44140625" customWidth="1"/>
    <col min="4" max="4" width="20" customWidth="1"/>
  </cols>
  <sheetData>
    <row r="1" spans="1:4" x14ac:dyDescent="0.3">
      <c r="A1" s="8" t="s">
        <v>60</v>
      </c>
      <c r="B1" s="8" t="s">
        <v>61</v>
      </c>
      <c r="C1" s="8" t="s">
        <v>62</v>
      </c>
      <c r="D1" s="8" t="s">
        <v>63</v>
      </c>
    </row>
    <row r="2" spans="1:4" x14ac:dyDescent="0.3">
      <c r="A2" s="9" t="s">
        <v>2</v>
      </c>
      <c r="B2" s="10">
        <v>5</v>
      </c>
      <c r="C2" s="10">
        <v>19</v>
      </c>
      <c r="D2" s="10">
        <v>11305</v>
      </c>
    </row>
    <row r="3" spans="1:4" x14ac:dyDescent="0.3">
      <c r="A3" s="9" t="s">
        <v>3</v>
      </c>
      <c r="B3" s="10">
        <v>5</v>
      </c>
      <c r="C3" s="10">
        <v>14</v>
      </c>
      <c r="D3" s="10">
        <v>8330</v>
      </c>
    </row>
    <row r="4" spans="1:4" x14ac:dyDescent="0.3">
      <c r="A4" s="9" t="s">
        <v>4</v>
      </c>
      <c r="B4" s="10">
        <v>5</v>
      </c>
      <c r="C4" s="10">
        <v>17</v>
      </c>
      <c r="D4" s="10">
        <v>10115</v>
      </c>
    </row>
    <row r="5" spans="1:4" x14ac:dyDescent="0.3">
      <c r="A5" s="9" t="s">
        <v>5</v>
      </c>
      <c r="B5" s="10">
        <v>5</v>
      </c>
      <c r="C5" s="10">
        <v>15</v>
      </c>
      <c r="D5" s="10">
        <v>8925</v>
      </c>
    </row>
    <row r="6" spans="1:4" x14ac:dyDescent="0.3">
      <c r="A6" s="9" t="s">
        <v>6</v>
      </c>
      <c r="B6" s="10">
        <v>5</v>
      </c>
      <c r="C6" s="10">
        <v>15</v>
      </c>
      <c r="D6" s="10">
        <v>8925</v>
      </c>
    </row>
    <row r="7" spans="1:4" x14ac:dyDescent="0.3">
      <c r="A7" s="9" t="s">
        <v>7</v>
      </c>
      <c r="B7" s="10">
        <v>5</v>
      </c>
      <c r="C7" s="10">
        <v>15</v>
      </c>
      <c r="D7" s="10">
        <v>8925</v>
      </c>
    </row>
    <row r="8" spans="1:4" x14ac:dyDescent="0.3">
      <c r="A8" s="9" t="s">
        <v>8</v>
      </c>
      <c r="B8" s="10">
        <v>5</v>
      </c>
      <c r="C8" s="10">
        <v>16</v>
      </c>
      <c r="D8" s="10">
        <v>9520</v>
      </c>
    </row>
    <row r="9" spans="1:4" x14ac:dyDescent="0.3">
      <c r="A9" s="9" t="s">
        <v>9</v>
      </c>
      <c r="B9" s="10">
        <v>5</v>
      </c>
      <c r="C9" s="10">
        <v>15</v>
      </c>
      <c r="D9" s="10">
        <v>8925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showGridLines="0" workbookViewId="0"/>
  </sheetViews>
  <sheetFormatPr defaultRowHeight="14.4" x14ac:dyDescent="0.3"/>
  <cols>
    <col min="1" max="1" width="7" customWidth="1"/>
    <col min="2" max="2" width="34" customWidth="1"/>
    <col min="3" max="3" width="24" customWidth="1"/>
    <col min="4" max="4" width="34" customWidth="1"/>
    <col min="5" max="5" width="72" customWidth="1"/>
  </cols>
  <sheetData>
    <row r="1" spans="1:5" ht="24" customHeight="1" x14ac:dyDescent="0.3">
      <c r="A1" s="44" t="s">
        <v>64</v>
      </c>
      <c r="B1" s="43"/>
      <c r="C1" s="43"/>
      <c r="D1" s="43"/>
      <c r="E1" s="43"/>
    </row>
    <row r="2" spans="1:5" ht="24" customHeight="1" x14ac:dyDescent="0.3">
      <c r="A2" s="43"/>
      <c r="B2" s="43"/>
      <c r="C2" s="43"/>
      <c r="D2" s="43"/>
      <c r="E2" s="43"/>
    </row>
    <row r="3" spans="1:5" ht="22.05" customHeight="1" x14ac:dyDescent="0.3">
      <c r="A3" s="45" t="s">
        <v>65</v>
      </c>
      <c r="B3" s="43"/>
      <c r="C3" s="43"/>
      <c r="D3" s="43"/>
      <c r="E3" s="43"/>
    </row>
    <row r="5" spans="1:5" ht="22.05" customHeight="1" x14ac:dyDescent="0.3">
      <c r="A5" s="13" t="s">
        <v>66</v>
      </c>
      <c r="B5" s="13" t="s">
        <v>67</v>
      </c>
      <c r="C5" s="13" t="s">
        <v>68</v>
      </c>
      <c r="D5" s="13" t="s">
        <v>69</v>
      </c>
      <c r="E5" s="13" t="s">
        <v>70</v>
      </c>
    </row>
    <row r="6" spans="1:5" ht="55.95" customHeight="1" x14ac:dyDescent="0.3">
      <c r="A6" s="14">
        <v>1</v>
      </c>
      <c r="B6" s="15" t="s">
        <v>71</v>
      </c>
      <c r="C6" s="16" t="s">
        <v>72</v>
      </c>
      <c r="D6" s="17" t="s">
        <v>73</v>
      </c>
      <c r="E6" s="17" t="s">
        <v>74</v>
      </c>
    </row>
    <row r="7" spans="1:5" ht="55.95" customHeight="1" x14ac:dyDescent="0.3">
      <c r="A7" s="14">
        <v>2</v>
      </c>
      <c r="B7" s="15" t="s">
        <v>75</v>
      </c>
      <c r="C7" s="16" t="s">
        <v>72</v>
      </c>
      <c r="D7" s="17" t="s">
        <v>76</v>
      </c>
      <c r="E7" s="17" t="s">
        <v>77</v>
      </c>
    </row>
    <row r="8" spans="1:5" ht="55.95" customHeight="1" x14ac:dyDescent="0.3">
      <c r="A8" s="14">
        <v>3</v>
      </c>
      <c r="B8" s="15" t="s">
        <v>78</v>
      </c>
      <c r="C8" s="16" t="s">
        <v>72</v>
      </c>
      <c r="D8" s="17" t="s">
        <v>79</v>
      </c>
      <c r="E8" s="17" t="s">
        <v>80</v>
      </c>
    </row>
    <row r="9" spans="1:5" ht="55.95" customHeight="1" x14ac:dyDescent="0.3">
      <c r="A9" s="18">
        <v>4</v>
      </c>
      <c r="B9" s="19" t="s">
        <v>81</v>
      </c>
      <c r="C9" s="20" t="s">
        <v>82</v>
      </c>
      <c r="D9" s="21" t="s">
        <v>83</v>
      </c>
      <c r="E9" s="21" t="s">
        <v>84</v>
      </c>
    </row>
    <row r="10" spans="1:5" ht="55.95" customHeight="1" x14ac:dyDescent="0.3">
      <c r="A10" s="18">
        <v>5</v>
      </c>
      <c r="B10" s="19" t="s">
        <v>85</v>
      </c>
      <c r="C10" s="20" t="s">
        <v>82</v>
      </c>
      <c r="D10" s="21" t="s">
        <v>86</v>
      </c>
      <c r="E10" s="21" t="s">
        <v>87</v>
      </c>
    </row>
    <row r="11" spans="1:5" ht="55.95" customHeight="1" x14ac:dyDescent="0.3">
      <c r="A11" s="18">
        <v>6</v>
      </c>
      <c r="B11" s="19" t="s">
        <v>88</v>
      </c>
      <c r="C11" s="20" t="s">
        <v>82</v>
      </c>
      <c r="D11" s="21" t="s">
        <v>89</v>
      </c>
      <c r="E11" s="21" t="s">
        <v>90</v>
      </c>
    </row>
    <row r="12" spans="1:5" ht="55.95" customHeight="1" x14ac:dyDescent="0.3">
      <c r="A12" s="18">
        <v>7</v>
      </c>
      <c r="B12" s="19" t="s">
        <v>91</v>
      </c>
      <c r="C12" s="20" t="s">
        <v>82</v>
      </c>
      <c r="D12" s="21" t="s">
        <v>92</v>
      </c>
      <c r="E12" s="21" t="s">
        <v>93</v>
      </c>
    </row>
    <row r="13" spans="1:5" ht="55.95" customHeight="1" x14ac:dyDescent="0.3">
      <c r="A13" s="18">
        <v>8</v>
      </c>
      <c r="B13" s="19" t="s">
        <v>94</v>
      </c>
      <c r="C13" s="20" t="s">
        <v>82</v>
      </c>
      <c r="D13" s="21" t="s">
        <v>95</v>
      </c>
      <c r="E13" s="21" t="s">
        <v>96</v>
      </c>
    </row>
    <row r="14" spans="1:5" ht="55.95" customHeight="1" x14ac:dyDescent="0.3">
      <c r="A14" s="22">
        <v>9</v>
      </c>
      <c r="B14" s="23" t="s">
        <v>97</v>
      </c>
      <c r="C14" s="24" t="s">
        <v>98</v>
      </c>
      <c r="D14" s="25" t="s">
        <v>99</v>
      </c>
      <c r="E14" s="25" t="s">
        <v>100</v>
      </c>
    </row>
    <row r="15" spans="1:5" ht="55.95" customHeight="1" x14ac:dyDescent="0.3">
      <c r="A15" s="22">
        <v>10</v>
      </c>
      <c r="B15" s="23" t="s">
        <v>101</v>
      </c>
      <c r="C15" s="24" t="s">
        <v>98</v>
      </c>
      <c r="D15" s="25" t="s">
        <v>102</v>
      </c>
      <c r="E15" s="25" t="s">
        <v>103</v>
      </c>
    </row>
    <row r="16" spans="1:5" ht="55.95" customHeight="1" x14ac:dyDescent="0.3">
      <c r="A16" s="22">
        <v>11</v>
      </c>
      <c r="B16" s="23" t="s">
        <v>104</v>
      </c>
      <c r="C16" s="24" t="s">
        <v>98</v>
      </c>
      <c r="D16" s="25" t="s">
        <v>105</v>
      </c>
      <c r="E16" s="25" t="s">
        <v>106</v>
      </c>
    </row>
    <row r="17" spans="1:5" ht="55.95" customHeight="1" x14ac:dyDescent="0.3">
      <c r="A17" s="26">
        <v>12</v>
      </c>
      <c r="B17" s="27" t="s">
        <v>107</v>
      </c>
      <c r="C17" s="28" t="s">
        <v>108</v>
      </c>
      <c r="D17" s="29" t="s">
        <v>109</v>
      </c>
      <c r="E17" s="29" t="s">
        <v>110</v>
      </c>
    </row>
    <row r="18" spans="1:5" ht="55.95" customHeight="1" x14ac:dyDescent="0.3">
      <c r="A18" s="26">
        <v>13</v>
      </c>
      <c r="B18" s="27" t="s">
        <v>111</v>
      </c>
      <c r="C18" s="28" t="s">
        <v>108</v>
      </c>
      <c r="D18" s="29" t="s">
        <v>112</v>
      </c>
      <c r="E18" s="29" t="s">
        <v>113</v>
      </c>
    </row>
    <row r="19" spans="1:5" ht="55.95" customHeight="1" x14ac:dyDescent="0.3">
      <c r="A19" s="26">
        <v>14</v>
      </c>
      <c r="B19" s="27" t="s">
        <v>114</v>
      </c>
      <c r="C19" s="28" t="s">
        <v>108</v>
      </c>
      <c r="D19" s="29" t="s">
        <v>115</v>
      </c>
      <c r="E19" s="29" t="s">
        <v>116</v>
      </c>
    </row>
    <row r="22" spans="1:5" x14ac:dyDescent="0.3">
      <c r="A22" s="42" t="s">
        <v>117</v>
      </c>
      <c r="B22" s="43"/>
      <c r="C22" s="43"/>
      <c r="D22" s="43"/>
      <c r="E22" s="43"/>
    </row>
  </sheetData>
  <mergeCells count="3">
    <mergeCell ref="A22:E22"/>
    <mergeCell ref="A1:E2"/>
    <mergeCell ref="A3:E3"/>
  </mergeCell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9"/>
  <sheetViews>
    <sheetView tabSelected="1" topLeftCell="A38" zoomScale="70" zoomScaleNormal="70" workbookViewId="0">
      <selection activeCell="H13" sqref="H13"/>
    </sheetView>
  </sheetViews>
  <sheetFormatPr defaultRowHeight="14.4" x14ac:dyDescent="0.3"/>
  <cols>
    <col min="1" max="1" width="18" customWidth="1"/>
    <col min="2" max="2" width="52" customWidth="1"/>
    <col min="3" max="3" width="18" customWidth="1"/>
    <col min="4" max="5" width="14" customWidth="1"/>
    <col min="6" max="6" width="40" customWidth="1"/>
    <col min="7" max="7" width="18" customWidth="1"/>
    <col min="8" max="8" width="28" customWidth="1"/>
    <col min="9" max="9" width="56" customWidth="1"/>
  </cols>
  <sheetData>
    <row r="1" spans="1:9" ht="24" customHeight="1" x14ac:dyDescent="0.3">
      <c r="A1" s="53" t="s">
        <v>118</v>
      </c>
      <c r="B1" s="43"/>
      <c r="C1" s="43"/>
      <c r="D1" s="43"/>
      <c r="E1" s="43"/>
      <c r="F1" s="43"/>
      <c r="G1" s="43"/>
      <c r="H1" s="43"/>
      <c r="I1" s="43"/>
    </row>
    <row r="2" spans="1:9" ht="24" customHeight="1" x14ac:dyDescent="0.3">
      <c r="A2" s="43"/>
      <c r="B2" s="43"/>
      <c r="C2" s="43"/>
      <c r="D2" s="43"/>
      <c r="E2" s="43"/>
      <c r="F2" s="43"/>
      <c r="G2" s="43"/>
      <c r="H2" s="43"/>
      <c r="I2" s="43"/>
    </row>
    <row r="3" spans="1:9" ht="24" customHeight="1" x14ac:dyDescent="0.3">
      <c r="A3" s="45" t="s">
        <v>119</v>
      </c>
      <c r="B3" s="43"/>
      <c r="C3" s="43"/>
      <c r="D3" s="43"/>
      <c r="E3" s="43"/>
      <c r="F3" s="43"/>
      <c r="G3" s="43"/>
      <c r="H3" s="43"/>
      <c r="I3" s="43"/>
    </row>
    <row r="5" spans="1:9" ht="22.05" customHeight="1" x14ac:dyDescent="0.3">
      <c r="A5" s="49" t="s">
        <v>120</v>
      </c>
      <c r="B5" s="43"/>
      <c r="C5" s="43"/>
      <c r="D5" s="43"/>
      <c r="E5" s="43"/>
      <c r="F5" s="43"/>
      <c r="G5" s="43"/>
      <c r="H5" s="43"/>
      <c r="I5" s="43"/>
    </row>
    <row r="6" spans="1:9" ht="34.049999999999997" customHeight="1" x14ac:dyDescent="0.3">
      <c r="A6" s="30" t="s">
        <v>121</v>
      </c>
      <c r="B6" s="30" t="s">
        <v>122</v>
      </c>
      <c r="C6" s="30" t="s">
        <v>123</v>
      </c>
      <c r="D6" s="30" t="s">
        <v>124</v>
      </c>
      <c r="E6" s="30" t="s">
        <v>125</v>
      </c>
      <c r="F6" s="30" t="s">
        <v>126</v>
      </c>
      <c r="G6" s="30" t="s">
        <v>127</v>
      </c>
      <c r="H6" s="30" t="s">
        <v>128</v>
      </c>
      <c r="I6" s="30" t="s">
        <v>129</v>
      </c>
    </row>
    <row r="7" spans="1:9" ht="54" customHeight="1" x14ac:dyDescent="0.3">
      <c r="A7" s="31" t="s">
        <v>130</v>
      </c>
      <c r="B7" s="32" t="s">
        <v>131</v>
      </c>
      <c r="C7" s="33" t="s">
        <v>132</v>
      </c>
      <c r="D7" s="31">
        <v>4</v>
      </c>
      <c r="E7" s="31">
        <v>5</v>
      </c>
      <c r="F7" s="31">
        <f t="shared" ref="F7:F18" si="0">D7*E7</f>
        <v>20</v>
      </c>
      <c r="G7" s="31" t="str">
        <f t="shared" ref="G7:G18" si="1">IF(F7&gt;=16,"Critical",IF(F7&gt;=10,"High",IF(F7&gt;=5,"Medium","Low")))</f>
        <v>Critical</v>
      </c>
      <c r="H7" s="33" t="s">
        <v>30</v>
      </c>
      <c r="I7" s="32" t="s">
        <v>133</v>
      </c>
    </row>
    <row r="8" spans="1:9" ht="54" customHeight="1" x14ac:dyDescent="0.3">
      <c r="A8" s="31" t="s">
        <v>134</v>
      </c>
      <c r="B8" s="32" t="s">
        <v>135</v>
      </c>
      <c r="C8" s="33" t="s">
        <v>136</v>
      </c>
      <c r="D8" s="31">
        <v>3</v>
      </c>
      <c r="E8" s="31">
        <v>4</v>
      </c>
      <c r="F8" s="31">
        <f t="shared" si="0"/>
        <v>12</v>
      </c>
      <c r="G8" s="31" t="str">
        <f t="shared" si="1"/>
        <v>High</v>
      </c>
      <c r="H8" s="33" t="s">
        <v>20</v>
      </c>
      <c r="I8" s="32" t="s">
        <v>137</v>
      </c>
    </row>
    <row r="9" spans="1:9" ht="54" customHeight="1" x14ac:dyDescent="0.3">
      <c r="A9" s="31" t="s">
        <v>138</v>
      </c>
      <c r="B9" s="32" t="s">
        <v>139</v>
      </c>
      <c r="C9" s="33" t="s">
        <v>132</v>
      </c>
      <c r="D9" s="31">
        <v>3</v>
      </c>
      <c r="E9" s="31">
        <v>5</v>
      </c>
      <c r="F9" s="31">
        <f t="shared" si="0"/>
        <v>15</v>
      </c>
      <c r="G9" s="31" t="str">
        <f t="shared" si="1"/>
        <v>High</v>
      </c>
      <c r="H9" s="33" t="s">
        <v>50</v>
      </c>
      <c r="I9" s="32" t="s">
        <v>140</v>
      </c>
    </row>
    <row r="10" spans="1:9" ht="54" customHeight="1" x14ac:dyDescent="0.3">
      <c r="A10" s="31" t="s">
        <v>141</v>
      </c>
      <c r="B10" s="32" t="s">
        <v>142</v>
      </c>
      <c r="C10" s="33" t="s">
        <v>143</v>
      </c>
      <c r="D10" s="31">
        <v>4</v>
      </c>
      <c r="E10" s="31">
        <v>4</v>
      </c>
      <c r="F10" s="31">
        <f t="shared" si="0"/>
        <v>16</v>
      </c>
      <c r="G10" s="31" t="str">
        <f t="shared" si="1"/>
        <v>Critical</v>
      </c>
      <c r="H10" s="33" t="s">
        <v>10</v>
      </c>
      <c r="I10" s="32" t="s">
        <v>144</v>
      </c>
    </row>
    <row r="11" spans="1:9" ht="54" customHeight="1" x14ac:dyDescent="0.3">
      <c r="A11" s="31" t="s">
        <v>145</v>
      </c>
      <c r="B11" s="32" t="s">
        <v>146</v>
      </c>
      <c r="C11" s="33" t="s">
        <v>147</v>
      </c>
      <c r="D11" s="31">
        <v>3</v>
      </c>
      <c r="E11" s="31">
        <v>4</v>
      </c>
      <c r="F11" s="31">
        <f t="shared" si="0"/>
        <v>12</v>
      </c>
      <c r="G11" s="31" t="str">
        <f t="shared" si="1"/>
        <v>High</v>
      </c>
      <c r="H11" s="33" t="s">
        <v>40</v>
      </c>
      <c r="I11" s="32" t="s">
        <v>148</v>
      </c>
    </row>
    <row r="12" spans="1:9" ht="54" customHeight="1" x14ac:dyDescent="0.3">
      <c r="A12" s="31" t="s">
        <v>149</v>
      </c>
      <c r="B12" s="32" t="s">
        <v>150</v>
      </c>
      <c r="C12" s="33" t="s">
        <v>147</v>
      </c>
      <c r="D12" s="31">
        <v>3</v>
      </c>
      <c r="E12" s="31">
        <v>3</v>
      </c>
      <c r="F12" s="31">
        <f t="shared" si="0"/>
        <v>9</v>
      </c>
      <c r="G12" s="31" t="str">
        <f t="shared" si="1"/>
        <v>Medium</v>
      </c>
      <c r="H12" s="33" t="s">
        <v>50</v>
      </c>
      <c r="I12" s="32" t="s">
        <v>151</v>
      </c>
    </row>
    <row r="13" spans="1:9" ht="54" customHeight="1" x14ac:dyDescent="0.3">
      <c r="A13" s="31" t="s">
        <v>152</v>
      </c>
      <c r="B13" s="32" t="s">
        <v>153</v>
      </c>
      <c r="C13" s="33" t="s">
        <v>154</v>
      </c>
      <c r="D13" s="31">
        <v>2</v>
      </c>
      <c r="E13" s="31">
        <v>4</v>
      </c>
      <c r="F13" s="31">
        <f t="shared" si="0"/>
        <v>8</v>
      </c>
      <c r="G13" s="31" t="str">
        <f t="shared" si="1"/>
        <v>Medium</v>
      </c>
      <c r="H13" s="33" t="s">
        <v>40</v>
      </c>
      <c r="I13" s="32" t="s">
        <v>155</v>
      </c>
    </row>
    <row r="14" spans="1:9" ht="54" customHeight="1" x14ac:dyDescent="0.3">
      <c r="A14" s="31" t="s">
        <v>156</v>
      </c>
      <c r="B14" s="32" t="s">
        <v>157</v>
      </c>
      <c r="C14" s="33" t="s">
        <v>158</v>
      </c>
      <c r="D14" s="31">
        <v>3</v>
      </c>
      <c r="E14" s="31">
        <v>3</v>
      </c>
      <c r="F14" s="31">
        <f t="shared" si="0"/>
        <v>9</v>
      </c>
      <c r="G14" s="31" t="str">
        <f t="shared" si="1"/>
        <v>Medium</v>
      </c>
      <c r="H14" s="33" t="s">
        <v>10</v>
      </c>
      <c r="I14" s="32" t="s">
        <v>159</v>
      </c>
    </row>
    <row r="15" spans="1:9" ht="54" customHeight="1" x14ac:dyDescent="0.3">
      <c r="A15" s="31" t="s">
        <v>160</v>
      </c>
      <c r="B15" s="32" t="s">
        <v>161</v>
      </c>
      <c r="C15" s="33" t="s">
        <v>154</v>
      </c>
      <c r="D15" s="31">
        <v>2</v>
      </c>
      <c r="E15" s="31">
        <v>4</v>
      </c>
      <c r="F15" s="31">
        <f t="shared" si="0"/>
        <v>8</v>
      </c>
      <c r="G15" s="31" t="str">
        <f t="shared" si="1"/>
        <v>Medium</v>
      </c>
      <c r="H15" s="33" t="s">
        <v>10</v>
      </c>
      <c r="I15" s="32" t="s">
        <v>162</v>
      </c>
    </row>
    <row r="16" spans="1:9" ht="54" customHeight="1" x14ac:dyDescent="0.3">
      <c r="A16" s="31" t="s">
        <v>163</v>
      </c>
      <c r="B16" s="32" t="s">
        <v>164</v>
      </c>
      <c r="C16" s="33" t="s">
        <v>165</v>
      </c>
      <c r="D16" s="31">
        <v>2</v>
      </c>
      <c r="E16" s="31">
        <v>4</v>
      </c>
      <c r="F16" s="31">
        <f t="shared" si="0"/>
        <v>8</v>
      </c>
      <c r="G16" s="31" t="str">
        <f t="shared" si="1"/>
        <v>Medium</v>
      </c>
      <c r="H16" s="33" t="s">
        <v>30</v>
      </c>
      <c r="I16" s="32" t="s">
        <v>166</v>
      </c>
    </row>
    <row r="17" spans="1:9" ht="54" customHeight="1" x14ac:dyDescent="0.3">
      <c r="A17" s="31" t="s">
        <v>167</v>
      </c>
      <c r="B17" s="32" t="s">
        <v>168</v>
      </c>
      <c r="C17" s="33" t="s">
        <v>132</v>
      </c>
      <c r="D17" s="31">
        <v>3</v>
      </c>
      <c r="E17" s="31">
        <v>4</v>
      </c>
      <c r="F17" s="31">
        <f t="shared" si="0"/>
        <v>12</v>
      </c>
      <c r="G17" s="31" t="str">
        <f t="shared" si="1"/>
        <v>High</v>
      </c>
      <c r="H17" s="33" t="s">
        <v>30</v>
      </c>
      <c r="I17" s="32" t="s">
        <v>169</v>
      </c>
    </row>
    <row r="18" spans="1:9" ht="54" customHeight="1" x14ac:dyDescent="0.3">
      <c r="A18" s="31" t="s">
        <v>170</v>
      </c>
      <c r="B18" s="32" t="s">
        <v>171</v>
      </c>
      <c r="C18" s="33" t="s">
        <v>172</v>
      </c>
      <c r="D18" s="31">
        <v>3</v>
      </c>
      <c r="E18" s="31">
        <v>3</v>
      </c>
      <c r="F18" s="31">
        <f t="shared" si="0"/>
        <v>9</v>
      </c>
      <c r="G18" s="31" t="str">
        <f t="shared" si="1"/>
        <v>Medium</v>
      </c>
      <c r="H18" s="33" t="s">
        <v>20</v>
      </c>
      <c r="I18" s="32" t="s">
        <v>173</v>
      </c>
    </row>
    <row r="21" spans="1:9" ht="22.05" customHeight="1" x14ac:dyDescent="0.3">
      <c r="A21" s="49" t="s">
        <v>174</v>
      </c>
      <c r="B21" s="43"/>
      <c r="C21" s="43"/>
      <c r="D21" s="43"/>
      <c r="E21" s="43"/>
      <c r="F21" s="43"/>
      <c r="G21" s="43"/>
      <c r="H21" s="43"/>
      <c r="I21" s="43"/>
    </row>
    <row r="23" spans="1:9" ht="19.95" customHeight="1" x14ac:dyDescent="0.3">
      <c r="B23" s="50" t="s">
        <v>175</v>
      </c>
      <c r="C23" s="43"/>
      <c r="D23" s="43"/>
      <c r="E23" s="43"/>
      <c r="F23" s="43"/>
      <c r="G23" s="43"/>
      <c r="H23" s="60" t="s">
        <v>176</v>
      </c>
      <c r="I23" s="48"/>
    </row>
    <row r="24" spans="1:9" ht="18" customHeight="1" x14ac:dyDescent="0.3">
      <c r="B24" s="35"/>
      <c r="C24" s="34">
        <v>1</v>
      </c>
      <c r="D24" s="34">
        <v>2</v>
      </c>
      <c r="E24" s="34">
        <v>3</v>
      </c>
      <c r="F24" s="34">
        <v>4</v>
      </c>
      <c r="G24" s="34">
        <v>5</v>
      </c>
      <c r="H24" s="59" t="s">
        <v>177</v>
      </c>
      <c r="I24" s="48"/>
    </row>
    <row r="25" spans="1:9" ht="18" customHeight="1" x14ac:dyDescent="0.3">
      <c r="A25" s="56" t="s">
        <v>178</v>
      </c>
      <c r="B25" s="34">
        <v>5</v>
      </c>
      <c r="C25" s="36">
        <v>5</v>
      </c>
      <c r="D25" s="37">
        <v>10</v>
      </c>
      <c r="E25" s="37">
        <v>15</v>
      </c>
      <c r="F25" s="38">
        <v>20</v>
      </c>
      <c r="G25" s="38">
        <v>25</v>
      </c>
      <c r="H25" s="52" t="s">
        <v>179</v>
      </c>
      <c r="I25" s="48"/>
    </row>
    <row r="26" spans="1:9" ht="18" customHeight="1" x14ac:dyDescent="0.3">
      <c r="A26" s="57"/>
      <c r="B26" s="34">
        <v>4</v>
      </c>
      <c r="C26" s="39">
        <v>4</v>
      </c>
      <c r="D26" s="36">
        <v>8</v>
      </c>
      <c r="E26" s="37">
        <v>12</v>
      </c>
      <c r="F26" s="38">
        <v>16</v>
      </c>
      <c r="G26" s="38">
        <v>20</v>
      </c>
      <c r="H26" s="61" t="s">
        <v>180</v>
      </c>
      <c r="I26" s="48"/>
    </row>
    <row r="27" spans="1:9" ht="18" customHeight="1" x14ac:dyDescent="0.3">
      <c r="A27" s="57"/>
      <c r="B27" s="34">
        <v>3</v>
      </c>
      <c r="C27" s="39">
        <v>3</v>
      </c>
      <c r="D27" s="36">
        <v>6</v>
      </c>
      <c r="E27" s="36">
        <v>9</v>
      </c>
      <c r="F27" s="37">
        <v>12</v>
      </c>
      <c r="G27" s="37">
        <v>15</v>
      </c>
      <c r="H27" s="55" t="s">
        <v>181</v>
      </c>
      <c r="I27" s="48"/>
    </row>
    <row r="28" spans="1:9" ht="19.95" customHeight="1" x14ac:dyDescent="0.3">
      <c r="A28" s="57"/>
      <c r="B28" s="34">
        <v>2</v>
      </c>
      <c r="C28" s="39">
        <v>2</v>
      </c>
      <c r="D28" s="39">
        <v>4</v>
      </c>
      <c r="E28" s="36">
        <v>6</v>
      </c>
      <c r="F28" s="36">
        <v>8</v>
      </c>
      <c r="G28" s="37">
        <v>10</v>
      </c>
    </row>
    <row r="29" spans="1:9" ht="19.95" customHeight="1" x14ac:dyDescent="0.3">
      <c r="A29" s="58"/>
      <c r="B29" s="34">
        <v>1</v>
      </c>
      <c r="C29" s="39">
        <v>1</v>
      </c>
      <c r="D29" s="39">
        <v>2</v>
      </c>
      <c r="E29" s="39">
        <v>3</v>
      </c>
      <c r="F29" s="39">
        <v>4</v>
      </c>
      <c r="G29" s="36">
        <v>5</v>
      </c>
    </row>
    <row r="32" spans="1:9" ht="22.05" customHeight="1" x14ac:dyDescent="0.3">
      <c r="A32" s="49" t="s">
        <v>182</v>
      </c>
      <c r="B32" s="43"/>
      <c r="C32" s="43"/>
      <c r="D32" s="43"/>
      <c r="E32" s="43"/>
      <c r="F32" s="43"/>
      <c r="G32" s="43"/>
      <c r="H32" s="43"/>
      <c r="I32" s="43"/>
    </row>
    <row r="33" spans="1:9" ht="31.95" customHeight="1" x14ac:dyDescent="0.3">
      <c r="A33" s="30" t="s">
        <v>183</v>
      </c>
      <c r="B33" s="30" t="s">
        <v>184</v>
      </c>
      <c r="C33" s="30" t="s">
        <v>185</v>
      </c>
      <c r="D33" s="30" t="s">
        <v>186</v>
      </c>
      <c r="E33" s="30" t="s">
        <v>128</v>
      </c>
      <c r="F33" s="51" t="s">
        <v>187</v>
      </c>
      <c r="G33" s="47"/>
      <c r="H33" s="47"/>
      <c r="I33" s="48"/>
    </row>
    <row r="34" spans="1:9" ht="36" customHeight="1" x14ac:dyDescent="0.3">
      <c r="A34" s="31" t="s">
        <v>188</v>
      </c>
      <c r="B34" s="32" t="s">
        <v>189</v>
      </c>
      <c r="C34" s="32" t="s">
        <v>190</v>
      </c>
      <c r="D34" s="33" t="s">
        <v>191</v>
      </c>
      <c r="E34" s="33" t="s">
        <v>10</v>
      </c>
      <c r="F34" s="46" t="s">
        <v>192</v>
      </c>
      <c r="G34" s="47"/>
      <c r="H34" s="47"/>
      <c r="I34" s="48"/>
    </row>
    <row r="35" spans="1:9" ht="36" customHeight="1" x14ac:dyDescent="0.3">
      <c r="A35" s="31" t="s">
        <v>193</v>
      </c>
      <c r="B35" s="32" t="s">
        <v>194</v>
      </c>
      <c r="C35" s="32" t="s">
        <v>195</v>
      </c>
      <c r="D35" s="33" t="s">
        <v>196</v>
      </c>
      <c r="E35" s="33" t="s">
        <v>197</v>
      </c>
      <c r="F35" s="46" t="s">
        <v>198</v>
      </c>
      <c r="G35" s="47"/>
      <c r="H35" s="47"/>
      <c r="I35" s="48"/>
    </row>
    <row r="36" spans="1:9" ht="36" customHeight="1" x14ac:dyDescent="0.3">
      <c r="A36" s="31" t="s">
        <v>199</v>
      </c>
      <c r="B36" s="32" t="s">
        <v>200</v>
      </c>
      <c r="C36" s="32" t="s">
        <v>201</v>
      </c>
      <c r="D36" s="33" t="s">
        <v>202</v>
      </c>
      <c r="E36" s="33" t="s">
        <v>50</v>
      </c>
      <c r="F36" s="46" t="s">
        <v>203</v>
      </c>
      <c r="G36" s="47"/>
      <c r="H36" s="47"/>
      <c r="I36" s="48"/>
    </row>
    <row r="37" spans="1:9" ht="36" customHeight="1" x14ac:dyDescent="0.3">
      <c r="A37" s="31" t="s">
        <v>204</v>
      </c>
      <c r="B37" s="32" t="s">
        <v>205</v>
      </c>
      <c r="C37" s="32" t="s">
        <v>206</v>
      </c>
      <c r="D37" s="33" t="s">
        <v>191</v>
      </c>
      <c r="E37" s="33" t="s">
        <v>50</v>
      </c>
      <c r="F37" s="46" t="s">
        <v>207</v>
      </c>
      <c r="G37" s="47"/>
      <c r="H37" s="47"/>
      <c r="I37" s="48"/>
    </row>
    <row r="38" spans="1:9" ht="36" customHeight="1" x14ac:dyDescent="0.3">
      <c r="A38" s="31" t="s">
        <v>208</v>
      </c>
      <c r="B38" s="32" t="s">
        <v>209</v>
      </c>
      <c r="C38" s="32" t="s">
        <v>210</v>
      </c>
      <c r="D38" s="33" t="s">
        <v>191</v>
      </c>
      <c r="E38" s="33" t="s">
        <v>20</v>
      </c>
      <c r="F38" s="46" t="s">
        <v>211</v>
      </c>
      <c r="G38" s="47"/>
      <c r="H38" s="47"/>
      <c r="I38" s="48"/>
    </row>
    <row r="39" spans="1:9" ht="36" customHeight="1" x14ac:dyDescent="0.3">
      <c r="A39" s="31" t="s">
        <v>212</v>
      </c>
      <c r="B39" s="32" t="s">
        <v>213</v>
      </c>
      <c r="C39" s="32" t="s">
        <v>214</v>
      </c>
      <c r="D39" s="33" t="s">
        <v>191</v>
      </c>
      <c r="E39" s="33" t="s">
        <v>50</v>
      </c>
      <c r="F39" s="46" t="s">
        <v>215</v>
      </c>
      <c r="G39" s="47"/>
      <c r="H39" s="47"/>
      <c r="I39" s="48"/>
    </row>
    <row r="40" spans="1:9" ht="36" customHeight="1" x14ac:dyDescent="0.3">
      <c r="A40" s="31" t="s">
        <v>216</v>
      </c>
      <c r="B40" s="32" t="s">
        <v>217</v>
      </c>
      <c r="C40" s="32" t="s">
        <v>218</v>
      </c>
      <c r="D40" s="33" t="s">
        <v>202</v>
      </c>
      <c r="E40" s="33" t="s">
        <v>197</v>
      </c>
      <c r="F40" s="46" t="s">
        <v>219</v>
      </c>
      <c r="G40" s="47"/>
      <c r="H40" s="47"/>
      <c r="I40" s="48"/>
    </row>
    <row r="41" spans="1:9" ht="36" customHeight="1" x14ac:dyDescent="0.3">
      <c r="A41" s="31" t="s">
        <v>220</v>
      </c>
      <c r="B41" s="32" t="s">
        <v>221</v>
      </c>
      <c r="C41" s="32" t="s">
        <v>222</v>
      </c>
      <c r="D41" s="33" t="s">
        <v>191</v>
      </c>
      <c r="E41" s="33" t="s">
        <v>30</v>
      </c>
      <c r="F41" s="46" t="s">
        <v>223</v>
      </c>
      <c r="G41" s="47"/>
      <c r="H41" s="47"/>
      <c r="I41" s="48"/>
    </row>
    <row r="42" spans="1:9" ht="36" customHeight="1" x14ac:dyDescent="0.3">
      <c r="A42" s="31" t="s">
        <v>224</v>
      </c>
      <c r="B42" s="32" t="s">
        <v>225</v>
      </c>
      <c r="C42" s="32" t="s">
        <v>226</v>
      </c>
      <c r="D42" s="33" t="s">
        <v>191</v>
      </c>
      <c r="E42" s="33" t="s">
        <v>30</v>
      </c>
      <c r="F42" s="46" t="s">
        <v>227</v>
      </c>
      <c r="G42" s="47"/>
      <c r="H42" s="47"/>
      <c r="I42" s="48"/>
    </row>
    <row r="43" spans="1:9" ht="36" customHeight="1" x14ac:dyDescent="0.3">
      <c r="A43" s="31" t="s">
        <v>228</v>
      </c>
      <c r="B43" s="32" t="s">
        <v>229</v>
      </c>
      <c r="C43" s="32" t="s">
        <v>230</v>
      </c>
      <c r="D43" s="33" t="s">
        <v>191</v>
      </c>
      <c r="E43" s="33" t="s">
        <v>30</v>
      </c>
      <c r="F43" s="46" t="s">
        <v>231</v>
      </c>
      <c r="G43" s="47"/>
      <c r="H43" s="47"/>
      <c r="I43" s="48"/>
    </row>
    <row r="44" spans="1:9" ht="36" customHeight="1" x14ac:dyDescent="0.3">
      <c r="A44" s="31" t="s">
        <v>232</v>
      </c>
      <c r="B44" s="32" t="s">
        <v>233</v>
      </c>
      <c r="C44" s="32" t="s">
        <v>234</v>
      </c>
      <c r="D44" s="33" t="s">
        <v>202</v>
      </c>
      <c r="E44" s="33" t="s">
        <v>197</v>
      </c>
      <c r="F44" s="46" t="s">
        <v>235</v>
      </c>
      <c r="G44" s="47"/>
      <c r="H44" s="47"/>
      <c r="I44" s="48"/>
    </row>
    <row r="45" spans="1:9" ht="36" customHeight="1" x14ac:dyDescent="0.3">
      <c r="A45" s="31" t="s">
        <v>236</v>
      </c>
      <c r="B45" s="32" t="s">
        <v>237</v>
      </c>
      <c r="C45" s="32" t="s">
        <v>238</v>
      </c>
      <c r="D45" s="33" t="s">
        <v>191</v>
      </c>
      <c r="E45" s="33" t="s">
        <v>40</v>
      </c>
      <c r="F45" s="46" t="s">
        <v>239</v>
      </c>
      <c r="G45" s="47"/>
      <c r="H45" s="47"/>
      <c r="I45" s="48"/>
    </row>
    <row r="47" spans="1:9" ht="22.05" customHeight="1" x14ac:dyDescent="0.3">
      <c r="A47" s="49" t="s">
        <v>240</v>
      </c>
      <c r="B47" s="43"/>
      <c r="C47" s="43"/>
      <c r="D47" s="43"/>
      <c r="E47" s="43"/>
      <c r="F47" s="43"/>
      <c r="G47" s="43"/>
      <c r="H47" s="43"/>
      <c r="I47" s="43"/>
    </row>
    <row r="48" spans="1:9" ht="30" customHeight="1" x14ac:dyDescent="0.3">
      <c r="A48" s="30" t="s">
        <v>241</v>
      </c>
      <c r="B48" s="30" t="s">
        <v>242</v>
      </c>
      <c r="C48" s="51" t="s">
        <v>243</v>
      </c>
      <c r="D48" s="47"/>
      <c r="E48" s="47"/>
      <c r="F48" s="47"/>
      <c r="G48" s="48"/>
      <c r="H48" s="30" t="s">
        <v>244</v>
      </c>
      <c r="I48" s="30" t="s">
        <v>245</v>
      </c>
    </row>
    <row r="49" spans="1:9" ht="40.049999999999997" customHeight="1" x14ac:dyDescent="0.3">
      <c r="A49" s="32" t="s">
        <v>246</v>
      </c>
      <c r="B49" s="32" t="s">
        <v>247</v>
      </c>
      <c r="C49" s="46" t="s">
        <v>248</v>
      </c>
      <c r="D49" s="47"/>
      <c r="E49" s="47"/>
      <c r="F49" s="47"/>
      <c r="G49" s="48"/>
      <c r="H49" s="33" t="s">
        <v>249</v>
      </c>
      <c r="I49" s="32" t="s">
        <v>250</v>
      </c>
    </row>
    <row r="50" spans="1:9" ht="40.049999999999997" customHeight="1" x14ac:dyDescent="0.3">
      <c r="A50" s="32" t="s">
        <v>251</v>
      </c>
      <c r="B50" s="32" t="s">
        <v>252</v>
      </c>
      <c r="C50" s="46" t="s">
        <v>253</v>
      </c>
      <c r="D50" s="47"/>
      <c r="E50" s="47"/>
      <c r="F50" s="47"/>
      <c r="G50" s="48"/>
      <c r="H50" s="33" t="s">
        <v>254</v>
      </c>
      <c r="I50" s="32" t="s">
        <v>255</v>
      </c>
    </row>
    <row r="51" spans="1:9" ht="40.049999999999997" customHeight="1" x14ac:dyDescent="0.3">
      <c r="A51" s="32" t="s">
        <v>256</v>
      </c>
      <c r="B51" s="32" t="s">
        <v>257</v>
      </c>
      <c r="C51" s="46" t="s">
        <v>258</v>
      </c>
      <c r="D51" s="47"/>
      <c r="E51" s="47"/>
      <c r="F51" s="47"/>
      <c r="G51" s="48"/>
      <c r="H51" s="33" t="s">
        <v>259</v>
      </c>
      <c r="I51" s="32" t="s">
        <v>260</v>
      </c>
    </row>
    <row r="52" spans="1:9" ht="40.049999999999997" customHeight="1" x14ac:dyDescent="0.3">
      <c r="A52" s="32" t="s">
        <v>261</v>
      </c>
      <c r="B52" s="32" t="s">
        <v>262</v>
      </c>
      <c r="C52" s="46" t="s">
        <v>263</v>
      </c>
      <c r="D52" s="47"/>
      <c r="E52" s="47"/>
      <c r="F52" s="47"/>
      <c r="G52" s="48"/>
      <c r="H52" s="33" t="s">
        <v>264</v>
      </c>
      <c r="I52" s="32" t="s">
        <v>265</v>
      </c>
    </row>
    <row r="53" spans="1:9" ht="40.049999999999997" customHeight="1" x14ac:dyDescent="0.3">
      <c r="A53" s="32" t="s">
        <v>9</v>
      </c>
      <c r="B53" s="32" t="s">
        <v>266</v>
      </c>
      <c r="C53" s="46" t="s">
        <v>267</v>
      </c>
      <c r="D53" s="47"/>
      <c r="E53" s="47"/>
      <c r="F53" s="47"/>
      <c r="G53" s="48"/>
      <c r="H53" s="33" t="s">
        <v>268</v>
      </c>
      <c r="I53" s="32" t="s">
        <v>269</v>
      </c>
    </row>
    <row r="55" spans="1:9" ht="22.05" customHeight="1" x14ac:dyDescent="0.3">
      <c r="A55" s="49" t="s">
        <v>270</v>
      </c>
      <c r="B55" s="43"/>
      <c r="C55" s="43"/>
      <c r="D55" s="43"/>
      <c r="E55" s="43"/>
      <c r="F55" s="43"/>
      <c r="G55" s="43"/>
      <c r="H55" s="43"/>
      <c r="I55" s="43"/>
    </row>
    <row r="56" spans="1:9" ht="31.95" customHeight="1" x14ac:dyDescent="0.3">
      <c r="A56" s="30" t="s">
        <v>271</v>
      </c>
      <c r="B56" s="30" t="s">
        <v>272</v>
      </c>
      <c r="C56" s="30" t="s">
        <v>273</v>
      </c>
      <c r="D56" s="30" t="s">
        <v>274</v>
      </c>
      <c r="E56" s="30" t="s">
        <v>128</v>
      </c>
      <c r="F56" s="30" t="s">
        <v>275</v>
      </c>
      <c r="G56" s="51" t="s">
        <v>276</v>
      </c>
      <c r="H56" s="47"/>
      <c r="I56" s="48"/>
    </row>
    <row r="57" spans="1:9" ht="40.049999999999997" customHeight="1" x14ac:dyDescent="0.3">
      <c r="A57" s="32" t="s">
        <v>277</v>
      </c>
      <c r="B57" s="32" t="s">
        <v>278</v>
      </c>
      <c r="C57" s="32" t="s">
        <v>279</v>
      </c>
      <c r="D57" s="32" t="s">
        <v>280</v>
      </c>
      <c r="E57" s="32" t="s">
        <v>281</v>
      </c>
      <c r="F57" s="32" t="s">
        <v>282</v>
      </c>
      <c r="G57" s="46" t="s">
        <v>283</v>
      </c>
      <c r="H57" s="47"/>
      <c r="I57" s="48"/>
    </row>
    <row r="58" spans="1:9" ht="40.049999999999997" customHeight="1" x14ac:dyDescent="0.3">
      <c r="A58" s="32" t="s">
        <v>284</v>
      </c>
      <c r="B58" s="32" t="s">
        <v>285</v>
      </c>
      <c r="C58" s="32" t="s">
        <v>286</v>
      </c>
      <c r="D58" s="32" t="s">
        <v>287</v>
      </c>
      <c r="E58" s="32" t="s">
        <v>281</v>
      </c>
      <c r="F58" s="32" t="s">
        <v>288</v>
      </c>
      <c r="G58" s="46" t="s">
        <v>289</v>
      </c>
      <c r="H58" s="47"/>
      <c r="I58" s="48"/>
    </row>
    <row r="59" spans="1:9" ht="40.049999999999997" customHeight="1" x14ac:dyDescent="0.3">
      <c r="A59" s="32" t="s">
        <v>290</v>
      </c>
      <c r="B59" s="32" t="s">
        <v>291</v>
      </c>
      <c r="C59" s="32" t="s">
        <v>292</v>
      </c>
      <c r="D59" s="32" t="s">
        <v>293</v>
      </c>
      <c r="E59" s="32" t="s">
        <v>294</v>
      </c>
      <c r="F59" s="32" t="s">
        <v>288</v>
      </c>
      <c r="G59" s="46" t="s">
        <v>295</v>
      </c>
      <c r="H59" s="47"/>
      <c r="I59" s="48"/>
    </row>
    <row r="60" spans="1:9" ht="40.049999999999997" customHeight="1" x14ac:dyDescent="0.3">
      <c r="A60" s="32" t="s">
        <v>296</v>
      </c>
      <c r="B60" s="32" t="s">
        <v>297</v>
      </c>
      <c r="C60" s="32" t="s">
        <v>298</v>
      </c>
      <c r="D60" s="32" t="s">
        <v>299</v>
      </c>
      <c r="E60" s="32" t="s">
        <v>300</v>
      </c>
      <c r="F60" s="32" t="s">
        <v>301</v>
      </c>
      <c r="G60" s="46" t="s">
        <v>302</v>
      </c>
      <c r="H60" s="47"/>
      <c r="I60" s="48"/>
    </row>
    <row r="61" spans="1:9" ht="40.049999999999997" customHeight="1" x14ac:dyDescent="0.3">
      <c r="A61" s="32" t="s">
        <v>303</v>
      </c>
      <c r="B61" s="32" t="s">
        <v>304</v>
      </c>
      <c r="C61" s="32" t="s">
        <v>305</v>
      </c>
      <c r="D61" s="32" t="s">
        <v>306</v>
      </c>
      <c r="E61" s="32" t="s">
        <v>307</v>
      </c>
      <c r="F61" s="32" t="s">
        <v>288</v>
      </c>
      <c r="G61" s="46" t="s">
        <v>308</v>
      </c>
      <c r="H61" s="47"/>
      <c r="I61" s="48"/>
    </row>
    <row r="62" spans="1:9" ht="40.049999999999997" customHeight="1" x14ac:dyDescent="0.3">
      <c r="A62" s="32" t="s">
        <v>309</v>
      </c>
      <c r="B62" s="32" t="s">
        <v>310</v>
      </c>
      <c r="C62" s="32" t="s">
        <v>311</v>
      </c>
      <c r="D62" s="32" t="s">
        <v>312</v>
      </c>
      <c r="E62" s="32" t="s">
        <v>313</v>
      </c>
      <c r="F62" s="32" t="s">
        <v>261</v>
      </c>
      <c r="G62" s="46" t="s">
        <v>314</v>
      </c>
      <c r="H62" s="47"/>
      <c r="I62" s="48"/>
    </row>
    <row r="63" spans="1:9" ht="40.049999999999997" customHeight="1" x14ac:dyDescent="0.3">
      <c r="A63" s="32" t="s">
        <v>315</v>
      </c>
      <c r="B63" s="32" t="s">
        <v>316</v>
      </c>
      <c r="C63" s="32" t="s">
        <v>317</v>
      </c>
      <c r="D63" s="32" t="s">
        <v>318</v>
      </c>
      <c r="E63" s="32" t="s">
        <v>319</v>
      </c>
      <c r="F63" s="32" t="s">
        <v>301</v>
      </c>
      <c r="G63" s="46" t="s">
        <v>320</v>
      </c>
      <c r="H63" s="47"/>
      <c r="I63" s="48"/>
    </row>
    <row r="65" spans="1:9" ht="22.05" customHeight="1" x14ac:dyDescent="0.3">
      <c r="A65" s="49" t="s">
        <v>321</v>
      </c>
      <c r="B65" s="43"/>
      <c r="C65" s="43"/>
      <c r="D65" s="43"/>
      <c r="E65" s="43"/>
      <c r="F65" s="43"/>
      <c r="G65" s="43"/>
      <c r="H65" s="43"/>
      <c r="I65" s="43"/>
    </row>
    <row r="66" spans="1:9" ht="28.05" customHeight="1" x14ac:dyDescent="0.3">
      <c r="A66" s="30" t="s">
        <v>123</v>
      </c>
      <c r="B66" s="30" t="s">
        <v>322</v>
      </c>
      <c r="C66" s="30" t="s">
        <v>323</v>
      </c>
      <c r="D66" s="51" t="s">
        <v>324</v>
      </c>
      <c r="E66" s="47"/>
      <c r="F66" s="47"/>
      <c r="G66" s="47"/>
      <c r="H66" s="47"/>
      <c r="I66" s="48"/>
    </row>
    <row r="67" spans="1:9" ht="34.049999999999997" customHeight="1" x14ac:dyDescent="0.3">
      <c r="A67" s="33" t="s">
        <v>132</v>
      </c>
      <c r="B67" s="32" t="s">
        <v>325</v>
      </c>
      <c r="C67" s="32" t="s">
        <v>326</v>
      </c>
      <c r="D67" s="46" t="s">
        <v>327</v>
      </c>
      <c r="E67" s="47"/>
      <c r="F67" s="47"/>
      <c r="G67" s="47"/>
      <c r="H67" s="47"/>
      <c r="I67" s="48"/>
    </row>
    <row r="68" spans="1:9" ht="34.049999999999997" customHeight="1" x14ac:dyDescent="0.3">
      <c r="A68" s="33" t="s">
        <v>328</v>
      </c>
      <c r="B68" s="32" t="s">
        <v>329</v>
      </c>
      <c r="C68" s="32" t="s">
        <v>330</v>
      </c>
      <c r="D68" s="46" t="s">
        <v>331</v>
      </c>
      <c r="E68" s="47"/>
      <c r="F68" s="47"/>
      <c r="G68" s="47"/>
      <c r="H68" s="47"/>
      <c r="I68" s="48"/>
    </row>
    <row r="69" spans="1:9" ht="34.049999999999997" customHeight="1" x14ac:dyDescent="0.3">
      <c r="A69" s="33" t="s">
        <v>332</v>
      </c>
      <c r="B69" s="32" t="s">
        <v>333</v>
      </c>
      <c r="C69" s="32" t="s">
        <v>334</v>
      </c>
      <c r="D69" s="46" t="s">
        <v>335</v>
      </c>
      <c r="E69" s="47"/>
      <c r="F69" s="47"/>
      <c r="G69" s="47"/>
      <c r="H69" s="47"/>
      <c r="I69" s="48"/>
    </row>
    <row r="70" spans="1:9" ht="34.049999999999997" customHeight="1" x14ac:dyDescent="0.3">
      <c r="A70" s="33" t="s">
        <v>336</v>
      </c>
      <c r="B70" s="32" t="s">
        <v>337</v>
      </c>
      <c r="C70" s="32" t="s">
        <v>338</v>
      </c>
      <c r="D70" s="46" t="s">
        <v>339</v>
      </c>
      <c r="E70" s="47"/>
      <c r="F70" s="47"/>
      <c r="G70" s="47"/>
      <c r="H70" s="47"/>
      <c r="I70" s="48"/>
    </row>
    <row r="71" spans="1:9" ht="34.049999999999997" customHeight="1" x14ac:dyDescent="0.3">
      <c r="A71" s="33" t="s">
        <v>340</v>
      </c>
      <c r="B71" s="32" t="s">
        <v>341</v>
      </c>
      <c r="C71" s="32" t="s">
        <v>342</v>
      </c>
      <c r="D71" s="46" t="s">
        <v>343</v>
      </c>
      <c r="E71" s="47"/>
      <c r="F71" s="47"/>
      <c r="G71" s="47"/>
      <c r="H71" s="47"/>
      <c r="I71" s="48"/>
    </row>
    <row r="72" spans="1:9" ht="34.049999999999997" customHeight="1" x14ac:dyDescent="0.3">
      <c r="A72" s="33" t="s">
        <v>309</v>
      </c>
      <c r="B72" s="32" t="s">
        <v>344</v>
      </c>
      <c r="C72" s="32" t="s">
        <v>345</v>
      </c>
      <c r="D72" s="46" t="s">
        <v>346</v>
      </c>
      <c r="E72" s="47"/>
      <c r="F72" s="47"/>
      <c r="G72" s="47"/>
      <c r="H72" s="47"/>
      <c r="I72" s="48"/>
    </row>
    <row r="73" spans="1:9" ht="34.049999999999997" customHeight="1" x14ac:dyDescent="0.3">
      <c r="A73" s="33" t="s">
        <v>347</v>
      </c>
      <c r="B73" s="32" t="s">
        <v>348</v>
      </c>
      <c r="C73" s="32" t="s">
        <v>349</v>
      </c>
      <c r="D73" s="46" t="s">
        <v>350</v>
      </c>
      <c r="E73" s="47"/>
      <c r="F73" s="47"/>
      <c r="G73" s="47"/>
      <c r="H73" s="47"/>
      <c r="I73" s="48"/>
    </row>
    <row r="74" spans="1:9" ht="34.049999999999997" customHeight="1" x14ac:dyDescent="0.3">
      <c r="A74" s="33" t="s">
        <v>351</v>
      </c>
      <c r="B74" s="32" t="s">
        <v>352</v>
      </c>
      <c r="C74" s="32" t="s">
        <v>353</v>
      </c>
      <c r="D74" s="46" t="s">
        <v>354</v>
      </c>
      <c r="E74" s="47"/>
      <c r="F74" s="47"/>
      <c r="G74" s="47"/>
      <c r="H74" s="47"/>
      <c r="I74" s="48"/>
    </row>
    <row r="77" spans="1:9" ht="22.05" customHeight="1" x14ac:dyDescent="0.3">
      <c r="A77" s="54" t="s">
        <v>355</v>
      </c>
      <c r="B77" s="43"/>
      <c r="C77" s="43"/>
      <c r="D77" s="43"/>
      <c r="E77" s="43"/>
      <c r="F77" s="43"/>
    </row>
    <row r="78" spans="1:9" ht="34.049999999999997" customHeight="1" x14ac:dyDescent="0.3">
      <c r="A78" s="40" t="s">
        <v>356</v>
      </c>
      <c r="B78" s="40" t="s">
        <v>357</v>
      </c>
      <c r="C78" s="40" t="s">
        <v>358</v>
      </c>
      <c r="D78" s="40" t="s">
        <v>128</v>
      </c>
      <c r="E78" s="40" t="s">
        <v>359</v>
      </c>
      <c r="F78" s="40" t="s">
        <v>360</v>
      </c>
    </row>
    <row r="79" spans="1:9" ht="46.05" customHeight="1" x14ac:dyDescent="0.3">
      <c r="A79" s="41" t="s">
        <v>361</v>
      </c>
      <c r="B79" s="41" t="s">
        <v>362</v>
      </c>
      <c r="C79" s="41" t="s">
        <v>363</v>
      </c>
      <c r="D79" s="41" t="s">
        <v>364</v>
      </c>
      <c r="E79" s="41" t="s">
        <v>365</v>
      </c>
      <c r="F79" s="41" t="s">
        <v>366</v>
      </c>
    </row>
    <row r="80" spans="1:9" ht="46.05" customHeight="1" x14ac:dyDescent="0.3">
      <c r="A80" s="41" t="s">
        <v>367</v>
      </c>
      <c r="B80" s="41" t="s">
        <v>368</v>
      </c>
      <c r="C80" s="41" t="s">
        <v>363</v>
      </c>
      <c r="D80" s="41" t="s">
        <v>364</v>
      </c>
      <c r="E80" s="41" t="s">
        <v>369</v>
      </c>
      <c r="F80" s="41" t="s">
        <v>370</v>
      </c>
    </row>
    <row r="81" spans="1:7" ht="46.05" customHeight="1" x14ac:dyDescent="0.3">
      <c r="A81" s="41" t="s">
        <v>371</v>
      </c>
      <c r="B81" s="41" t="s">
        <v>372</v>
      </c>
      <c r="C81" s="41" t="s">
        <v>363</v>
      </c>
      <c r="D81" s="41" t="s">
        <v>197</v>
      </c>
      <c r="E81" s="41" t="s">
        <v>373</v>
      </c>
      <c r="F81" s="41" t="s">
        <v>374</v>
      </c>
    </row>
    <row r="82" spans="1:7" ht="46.05" customHeight="1" x14ac:dyDescent="0.3">
      <c r="A82" s="41" t="s">
        <v>375</v>
      </c>
      <c r="B82" s="41" t="s">
        <v>376</v>
      </c>
      <c r="C82" s="41" t="s">
        <v>363</v>
      </c>
      <c r="D82" s="41" t="s">
        <v>377</v>
      </c>
      <c r="E82" s="41" t="s">
        <v>369</v>
      </c>
      <c r="F82" s="41" t="s">
        <v>378</v>
      </c>
    </row>
    <row r="83" spans="1:7" ht="46.05" customHeight="1" x14ac:dyDescent="0.3">
      <c r="A83" s="41" t="s">
        <v>379</v>
      </c>
      <c r="B83" s="41" t="s">
        <v>380</v>
      </c>
      <c r="C83" s="41" t="s">
        <v>381</v>
      </c>
      <c r="D83" s="41" t="s">
        <v>197</v>
      </c>
      <c r="E83" s="41" t="s">
        <v>382</v>
      </c>
      <c r="F83" s="41" t="s">
        <v>383</v>
      </c>
    </row>
    <row r="85" spans="1:7" ht="22.05" customHeight="1" x14ac:dyDescent="0.3">
      <c r="A85" s="54" t="s">
        <v>384</v>
      </c>
      <c r="B85" s="43"/>
      <c r="C85" s="43"/>
      <c r="D85" s="43"/>
      <c r="E85" s="43"/>
      <c r="F85" s="43"/>
      <c r="G85" s="43"/>
    </row>
    <row r="86" spans="1:7" ht="34.049999999999997" customHeight="1" x14ac:dyDescent="0.3">
      <c r="A86" s="40" t="s">
        <v>121</v>
      </c>
      <c r="B86" s="40" t="s">
        <v>385</v>
      </c>
      <c r="C86" s="40" t="s">
        <v>386</v>
      </c>
      <c r="D86" s="40" t="s">
        <v>387</v>
      </c>
      <c r="E86" s="40" t="s">
        <v>388</v>
      </c>
      <c r="F86" s="40" t="s">
        <v>389</v>
      </c>
      <c r="G86" s="40" t="s">
        <v>128</v>
      </c>
    </row>
    <row r="87" spans="1:7" ht="54" customHeight="1" x14ac:dyDescent="0.3">
      <c r="A87" s="41" t="s">
        <v>390</v>
      </c>
      <c r="B87" s="41" t="s">
        <v>391</v>
      </c>
      <c r="C87" s="41" t="s">
        <v>381</v>
      </c>
      <c r="D87" s="41" t="s">
        <v>363</v>
      </c>
      <c r="E87" s="41" t="s">
        <v>363</v>
      </c>
      <c r="F87" s="41" t="s">
        <v>392</v>
      </c>
      <c r="G87" s="41" t="s">
        <v>393</v>
      </c>
    </row>
    <row r="88" spans="1:7" ht="54" customHeight="1" x14ac:dyDescent="0.3">
      <c r="A88" s="41" t="s">
        <v>394</v>
      </c>
      <c r="B88" s="41" t="s">
        <v>395</v>
      </c>
      <c r="C88" s="41" t="s">
        <v>381</v>
      </c>
      <c r="D88" s="41" t="s">
        <v>363</v>
      </c>
      <c r="E88" s="41" t="s">
        <v>363</v>
      </c>
      <c r="F88" s="41" t="s">
        <v>396</v>
      </c>
      <c r="G88" s="41" t="s">
        <v>397</v>
      </c>
    </row>
    <row r="89" spans="1:7" ht="54" customHeight="1" x14ac:dyDescent="0.3">
      <c r="A89" s="41" t="s">
        <v>398</v>
      </c>
      <c r="B89" s="41" t="s">
        <v>399</v>
      </c>
      <c r="C89" s="41" t="s">
        <v>400</v>
      </c>
      <c r="D89" s="41" t="s">
        <v>363</v>
      </c>
      <c r="E89" s="41" t="s">
        <v>381</v>
      </c>
      <c r="F89" s="41" t="s">
        <v>401</v>
      </c>
      <c r="G89" s="41" t="s">
        <v>393</v>
      </c>
    </row>
    <row r="90" spans="1:7" ht="54" customHeight="1" x14ac:dyDescent="0.3">
      <c r="A90" s="41" t="s">
        <v>402</v>
      </c>
      <c r="B90" s="41" t="s">
        <v>403</v>
      </c>
      <c r="C90" s="41" t="s">
        <v>381</v>
      </c>
      <c r="D90" s="41" t="s">
        <v>381</v>
      </c>
      <c r="E90" s="41" t="s">
        <v>381</v>
      </c>
      <c r="F90" s="41" t="s">
        <v>404</v>
      </c>
      <c r="G90" s="41" t="s">
        <v>405</v>
      </c>
    </row>
    <row r="91" spans="1:7" ht="54" customHeight="1" x14ac:dyDescent="0.3">
      <c r="A91" s="41" t="s">
        <v>406</v>
      </c>
      <c r="B91" s="41" t="s">
        <v>407</v>
      </c>
      <c r="C91" s="41" t="s">
        <v>381</v>
      </c>
      <c r="D91" s="41" t="s">
        <v>381</v>
      </c>
      <c r="E91" s="41" t="s">
        <v>381</v>
      </c>
      <c r="F91" s="41" t="s">
        <v>408</v>
      </c>
      <c r="G91" s="41" t="s">
        <v>377</v>
      </c>
    </row>
    <row r="93" spans="1:7" ht="22.05" customHeight="1" x14ac:dyDescent="0.3">
      <c r="A93" s="54" t="s">
        <v>409</v>
      </c>
      <c r="B93" s="43"/>
      <c r="C93" s="43"/>
      <c r="D93" s="43"/>
      <c r="E93" s="43"/>
      <c r="F93" s="43"/>
    </row>
    <row r="94" spans="1:7" ht="34.049999999999997" customHeight="1" x14ac:dyDescent="0.3">
      <c r="A94" s="40" t="s">
        <v>410</v>
      </c>
      <c r="B94" s="40" t="s">
        <v>411</v>
      </c>
      <c r="C94" s="40" t="s">
        <v>412</v>
      </c>
      <c r="D94" s="40" t="s">
        <v>128</v>
      </c>
      <c r="E94" s="40" t="s">
        <v>275</v>
      </c>
      <c r="F94" s="40" t="s">
        <v>413</v>
      </c>
    </row>
    <row r="95" spans="1:7" ht="52.05" customHeight="1" x14ac:dyDescent="0.3">
      <c r="A95" s="41" t="s">
        <v>414</v>
      </c>
      <c r="B95" s="41" t="s">
        <v>415</v>
      </c>
      <c r="C95" s="41" t="s">
        <v>416</v>
      </c>
      <c r="D95" s="41" t="s">
        <v>197</v>
      </c>
      <c r="E95" s="41" t="s">
        <v>417</v>
      </c>
      <c r="F95" s="41" t="s">
        <v>418</v>
      </c>
    </row>
    <row r="96" spans="1:7" ht="52.05" customHeight="1" x14ac:dyDescent="0.3">
      <c r="A96" s="41" t="s">
        <v>419</v>
      </c>
      <c r="B96" s="41" t="s">
        <v>420</v>
      </c>
      <c r="C96" s="41" t="s">
        <v>421</v>
      </c>
      <c r="D96" s="41" t="s">
        <v>197</v>
      </c>
      <c r="E96" s="41" t="s">
        <v>382</v>
      </c>
      <c r="F96" s="41" t="s">
        <v>422</v>
      </c>
    </row>
    <row r="97" spans="1:6" ht="52.05" customHeight="1" x14ac:dyDescent="0.3">
      <c r="A97" s="41" t="s">
        <v>423</v>
      </c>
      <c r="B97" s="41" t="s">
        <v>424</v>
      </c>
      <c r="C97" s="41" t="s">
        <v>425</v>
      </c>
      <c r="D97" s="41" t="s">
        <v>364</v>
      </c>
      <c r="E97" s="41" t="s">
        <v>382</v>
      </c>
      <c r="F97" s="41" t="s">
        <v>426</v>
      </c>
    </row>
    <row r="98" spans="1:6" ht="52.05" customHeight="1" x14ac:dyDescent="0.3">
      <c r="A98" s="41" t="s">
        <v>427</v>
      </c>
      <c r="B98" s="41" t="s">
        <v>428</v>
      </c>
      <c r="C98" s="41" t="s">
        <v>429</v>
      </c>
      <c r="D98" s="41" t="s">
        <v>430</v>
      </c>
      <c r="E98" s="41" t="s">
        <v>382</v>
      </c>
      <c r="F98" s="41" t="s">
        <v>431</v>
      </c>
    </row>
    <row r="99" spans="1:6" ht="52.05" customHeight="1" x14ac:dyDescent="0.3">
      <c r="A99" s="41" t="s">
        <v>432</v>
      </c>
      <c r="B99" s="41" t="s">
        <v>433</v>
      </c>
      <c r="C99" s="41" t="s">
        <v>434</v>
      </c>
      <c r="D99" s="41" t="s">
        <v>197</v>
      </c>
      <c r="E99" s="41" t="s">
        <v>435</v>
      </c>
      <c r="F99" s="41" t="s">
        <v>436</v>
      </c>
    </row>
  </sheetData>
  <mergeCells count="54">
    <mergeCell ref="A93:F93"/>
    <mergeCell ref="G60:I60"/>
    <mergeCell ref="D67:I67"/>
    <mergeCell ref="C51:G51"/>
    <mergeCell ref="G56:I56"/>
    <mergeCell ref="C52:G52"/>
    <mergeCell ref="G59:I59"/>
    <mergeCell ref="D69:I69"/>
    <mergeCell ref="A77:F77"/>
    <mergeCell ref="G61:I61"/>
    <mergeCell ref="C53:G53"/>
    <mergeCell ref="A85:G85"/>
    <mergeCell ref="A1:I2"/>
    <mergeCell ref="F34:I34"/>
    <mergeCell ref="D74:I74"/>
    <mergeCell ref="D68:I68"/>
    <mergeCell ref="G63:I63"/>
    <mergeCell ref="D73:I73"/>
    <mergeCell ref="F40:I40"/>
    <mergeCell ref="F33:I33"/>
    <mergeCell ref="F45:I45"/>
    <mergeCell ref="H27:I27"/>
    <mergeCell ref="C48:G48"/>
    <mergeCell ref="F36:I36"/>
    <mergeCell ref="F42:I42"/>
    <mergeCell ref="F41:I41"/>
    <mergeCell ref="F35:I35"/>
    <mergeCell ref="A25:A29"/>
    <mergeCell ref="D72:I72"/>
    <mergeCell ref="H25:I25"/>
    <mergeCell ref="G58:I58"/>
    <mergeCell ref="A47:I47"/>
    <mergeCell ref="A5:I5"/>
    <mergeCell ref="A32:I32"/>
    <mergeCell ref="C50:G50"/>
    <mergeCell ref="D71:I71"/>
    <mergeCell ref="F44:I44"/>
    <mergeCell ref="H24:I24"/>
    <mergeCell ref="F38:I38"/>
    <mergeCell ref="H23:I23"/>
    <mergeCell ref="H26:I26"/>
    <mergeCell ref="D70:I70"/>
    <mergeCell ref="F37:I37"/>
    <mergeCell ref="A3:I3"/>
    <mergeCell ref="D66:I66"/>
    <mergeCell ref="A55:I55"/>
    <mergeCell ref="A21:I21"/>
    <mergeCell ref="C49:G49"/>
    <mergeCell ref="A65:I65"/>
    <mergeCell ref="G57:I57"/>
    <mergeCell ref="F43:I43"/>
    <mergeCell ref="B23:G23"/>
    <mergeCell ref="F39:I39"/>
    <mergeCell ref="G62:I62"/>
  </mergeCells>
  <conditionalFormatting sqref="D34:D45">
    <cfRule type="expression" dxfId="10" priority="9">
      <formula>D34="Done"</formula>
    </cfRule>
    <cfRule type="expression" dxfId="9" priority="10">
      <formula>D34="In progress"</formula>
    </cfRule>
    <cfRule type="expression" dxfId="8" priority="11">
      <formula>D34="Planned"</formula>
    </cfRule>
  </conditionalFormatting>
  <conditionalFormatting sqref="F7:F18">
    <cfRule type="cellIs" dxfId="7" priority="1" operator="greaterThanOrEqual">
      <formula>16</formula>
    </cfRule>
    <cfRule type="cellIs" dxfId="6" priority="2" operator="between">
      <formula>10</formula>
      <formula>15</formula>
    </cfRule>
    <cfRule type="cellIs" dxfId="5" priority="3" operator="between">
      <formula>5</formula>
      <formula>9</formula>
    </cfRule>
    <cfRule type="cellIs" dxfId="4" priority="4" operator="lessThanOrEqual">
      <formula>4</formula>
    </cfRule>
  </conditionalFormatting>
  <conditionalFormatting sqref="G7:G18">
    <cfRule type="expression" dxfId="3" priority="5">
      <formula>G7="Critical"</formula>
    </cfRule>
    <cfRule type="expression" dxfId="2" priority="6">
      <formula>G7="High"</formula>
    </cfRule>
    <cfRule type="expression" dxfId="1" priority="7">
      <formula>G7="Medium"</formula>
    </cfRule>
    <cfRule type="expression" dxfId="0" priority="8">
      <formula>G7="Low"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Management</vt:lpstr>
      <vt:lpstr>Budget</vt:lpstr>
      <vt:lpstr>CarGallery_Week2</vt:lpstr>
      <vt:lpstr>CarGallery_Week3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 Yalçınkaya</cp:lastModifiedBy>
  <dcterms:created xsi:type="dcterms:W3CDTF">2026-03-12T11:07:04Z</dcterms:created>
  <dcterms:modified xsi:type="dcterms:W3CDTF">2026-03-12T11:13:28Z</dcterms:modified>
</cp:coreProperties>
</file>